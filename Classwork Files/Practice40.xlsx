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 Corporate Training\Birla Opus PowerBI\"/>
    </mc:Choice>
  </mc:AlternateContent>
  <xr:revisionPtr revIDLastSave="0" documentId="13_ncr:1_{7B2508F3-0FFC-4C35-AA25-D1625C77A804}" xr6:coauthVersionLast="47" xr6:coauthVersionMax="47" xr10:uidLastSave="{00000000-0000-0000-0000-000000000000}"/>
  <bookViews>
    <workbookView xWindow="-108" yWindow="-108" windowWidth="23256" windowHeight="12456" tabRatio="891" xr2:uid="{4F3FA762-9E77-457C-9098-F08912BAAC5A}"/>
  </bookViews>
  <sheets>
    <sheet name="INDEX" sheetId="47" r:id="rId1"/>
    <sheet name="TEXTSPLIT &amp; TEXTJOIN &amp; CONCAT" sheetId="4" r:id="rId2"/>
    <sheet name="TEXTBEFORE &amp; TEXTAFTER" sheetId="3" r:id="rId3"/>
    <sheet name="SWITCH" sheetId="35" r:id="rId4"/>
    <sheet name="XLOOKUP" sheetId="32" r:id="rId5"/>
    <sheet name="XMATCH" sheetId="28" r:id="rId6"/>
    <sheet name="OFFSET" sheetId="44" r:id="rId7"/>
    <sheet name="TRIMRANGE" sheetId="46" r:id="rId8"/>
    <sheet name="VSTACK &amp; HSTACK " sheetId="5" r:id="rId9"/>
    <sheet name="TOCOL &amp; TOROW" sheetId="8" r:id="rId10"/>
    <sheet name="BYCOL &amp; BYROW" sheetId="33" r:id="rId11"/>
    <sheet name="WRAPCOLS &amp; WRAPROWS" sheetId="21" r:id="rId12"/>
    <sheet name="CHOOSECOLS &amp; CHOOSEROWS" sheetId="19" r:id="rId13"/>
    <sheet name="TRANSPOSE" sheetId="36" r:id="rId14"/>
    <sheet name="SORT &amp; SORTBY" sheetId="23" r:id="rId15"/>
    <sheet name="FILTER" sheetId="24" r:id="rId16"/>
    <sheet name="UNIQUE" sheetId="25" r:id="rId17"/>
    <sheet name="AGGREGATE" sheetId="41" r:id="rId18"/>
    <sheet name="TREND" sheetId="42" r:id="rId19"/>
    <sheet name="SEQUENCE" sheetId="26" r:id="rId20"/>
    <sheet name="RANDARRAY" sheetId="27" r:id="rId21"/>
    <sheet name="MAKEARRAY" sheetId="34" r:id="rId22"/>
    <sheet name="GROUPBY &amp; PIVOTBY" sheetId="29" r:id="rId23"/>
    <sheet name="ARRAYTOTEXT &amp; LAMBDA" sheetId="30" r:id="rId24"/>
    <sheet name="MAP" sheetId="38" r:id="rId25"/>
    <sheet name="SCAN" sheetId="37" r:id="rId26"/>
    <sheet name="REDUCE" sheetId="39" r:id="rId27"/>
    <sheet name="ISOMITTED" sheetId="40" r:id="rId28"/>
    <sheet name="TAKE &amp; CHOOSE" sheetId="18" r:id="rId29"/>
    <sheet name="DROP" sheetId="17" r:id="rId30"/>
    <sheet name="EXPAND" sheetId="16" r:id="rId31"/>
  </sheets>
  <definedNames>
    <definedName name="_xlnm._FilterDatabase" localSheetId="23" hidden="1">'ARRAYTOTEXT &amp; LAMBDA'!$A$1:$E$301</definedName>
    <definedName name="_xlnm._FilterDatabase" localSheetId="22" hidden="1">'GROUPBY &amp; PIVOTBY'!$A$1:$E$313</definedName>
    <definedName name="CalcDif" localSheetId="23">_xlfn.LAMBDA(_xlpm.a,_xlpm.b,_xlfn.MAP(_xlpm.a,_xlpm.b,_xlfn.LAMBDA(_xlpm.a,_xlpm.b,_xlpm.b/_xlpm.a-1)))</definedName>
    <definedName name="CalcDif" localSheetId="0">_xlfn.LAMBDA(_xlpm.a,_xlpm.b,_xlfn.MAP(_xlpm.a,_xlpm.b,_xlfn.LAMBDA(_xlpm.a,_xlpm.b,_xlpm.b/_xlpm.a-1)))</definedName>
    <definedName name="CalcDif" localSheetId="7">_xlfn.LAMBDA(_xlpm.a,_xlpm.b,_xlfn.MAP(_xlpm.a,_xlpm.b,_xlfn.LAMBDA(_xlpm.a,_xlpm.b,_xlpm.b/_xlpm.a-1)))</definedName>
    <definedName name="CalcDif">_xlfn.LAMBDA(_xlpm.a,_xlpm.b,_xlfn.MAP(_xlpm.a,_xlpm.b,_xlfn.LAMBDA(_xlpm.a,_xlpm.b,_xlpm.b/_xlpm.a-1)))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1" l="1"/>
  <c r="N8" i="30"/>
  <c r="N2" i="30" a="1"/>
  <c r="N2" i="30" s="1"/>
  <c r="G2" i="30" a="1"/>
  <c r="G2" i="30" s="1"/>
  <c r="H3" i="29" a="1"/>
  <c r="H3" i="29" s="1"/>
  <c r="AB2" i="30" a="1"/>
  <c r="AB2" i="30" s="1"/>
  <c r="V2" i="30" a="1"/>
  <c r="V2" i="30" s="1"/>
  <c r="Q2" i="30" a="1"/>
  <c r="Q2" i="30" s="1"/>
  <c r="N12" i="30" a="1"/>
  <c r="N12" i="30" s="1"/>
  <c r="E282" i="29"/>
  <c r="E244" i="29"/>
  <c r="E201" i="29"/>
  <c r="E202" i="29" s="1"/>
  <c r="E160" i="29"/>
  <c r="E124" i="29"/>
  <c r="E94" i="29"/>
  <c r="E58" i="29"/>
  <c r="E59" i="29" s="1"/>
  <c r="E26" i="29"/>
  <c r="M2" i="29" a="1"/>
  <c r="M2" i="29" s="1"/>
  <c r="E125" i="29" l="1"/>
  <c r="E283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<sst xmlns="http://schemas.openxmlformats.org/spreadsheetml/2006/main" count="2622" uniqueCount="483">
  <si>
    <t>A</t>
  </si>
  <si>
    <t>B</t>
  </si>
  <si>
    <t>Sales</t>
  </si>
  <si>
    <t>Name</t>
  </si>
  <si>
    <t>Ram Gopal Lal</t>
  </si>
  <si>
    <t>Sunil Kumar</t>
  </si>
  <si>
    <t>Ashish Lal Bisht</t>
  </si>
  <si>
    <t>Manish Rai</t>
  </si>
  <si>
    <t>Sohan Rai</t>
  </si>
  <si>
    <t>Sohan Dey</t>
  </si>
  <si>
    <t>Ajay Singh Rautela</t>
  </si>
  <si>
    <t>First Name</t>
  </si>
  <si>
    <t>Middle Name</t>
  </si>
  <si>
    <t>Last Name</t>
  </si>
  <si>
    <t>Region</t>
  </si>
  <si>
    <t>East</t>
  </si>
  <si>
    <t>West</t>
  </si>
  <si>
    <t>North</t>
  </si>
  <si>
    <t>South</t>
  </si>
  <si>
    <t>C</t>
  </si>
  <si>
    <t>D</t>
  </si>
  <si>
    <t>List1</t>
  </si>
  <si>
    <t>List2</t>
  </si>
  <si>
    <t>Full Name</t>
  </si>
  <si>
    <t>Ajay</t>
  </si>
  <si>
    <t>Singh</t>
  </si>
  <si>
    <t>Rautela</t>
  </si>
  <si>
    <t>Ashish</t>
  </si>
  <si>
    <t>Lal</t>
  </si>
  <si>
    <t>Bisht</t>
  </si>
  <si>
    <t>Manish</t>
  </si>
  <si>
    <t>Rai</t>
  </si>
  <si>
    <t>Ram</t>
  </si>
  <si>
    <t>Gopal</t>
  </si>
  <si>
    <t>Sohan</t>
  </si>
  <si>
    <t>Dey</t>
  </si>
  <si>
    <t>Sunil</t>
  </si>
  <si>
    <t>Kumar</t>
  </si>
  <si>
    <t>Serial No.</t>
  </si>
  <si>
    <t>=TEXTSPLIT(A2," ")</t>
  </si>
  <si>
    <t>=TEXTJOIN(" ",TRUE,B11:D11)</t>
  </si>
  <si>
    <t>john.doe@example.com</t>
  </si>
  <si>
    <t>product-12345-XYZ</t>
  </si>
  <si>
    <t>report_final_version1.docx</t>
  </si>
  <si>
    <t>https://www.microsoft.com/excel</t>
  </si>
  <si>
    <t>invoice_56789.pdf</t>
  </si>
  <si>
    <t>jane.smith@company.org</t>
  </si>
  <si>
    <t>Result-1</t>
  </si>
  <si>
    <t>Result-2</t>
  </si>
  <si>
    <t>=TEXTBEFORE(A2,"@")</t>
  </si>
  <si>
    <t>=TEXTBEFORE(A3,"-")</t>
  </si>
  <si>
    <t>=TEXTAFTER(A4,"_",2)</t>
  </si>
  <si>
    <t>=TEXTAFTER(A5,"//")</t>
  </si>
  <si>
    <t>=TEXTBEFORE(A6,"_")</t>
  </si>
  <si>
    <t>=TEXTBEFORE(A7,"@")</t>
  </si>
  <si>
    <t>=TEXTAFTER(A2,"@")</t>
  </si>
  <si>
    <t>=TEXTAFTER(A3,"-")</t>
  </si>
  <si>
    <t>=TEXTAFTER(A4,".")</t>
  </si>
  <si>
    <t>=TEXTBEFORE(A5,"//")</t>
  </si>
  <si>
    <t>=TEXTBEFORE(TEXTAFTER(A6,"_"),".")</t>
  </si>
  <si>
    <t>=TEXTAFTER(A7,"@")</t>
  </si>
  <si>
    <t>Original Text</t>
  </si>
  <si>
    <t>=VSTACK(A1:C3,E2:G3)</t>
  </si>
  <si>
    <t>=HSTACK(A1:C3,E1:G3)</t>
  </si>
  <si>
    <t>=TOCOL(A2:B5,1,FALSE)</t>
  </si>
  <si>
    <t>=TOCOL(A2:B5,1,TRUE)</t>
  </si>
  <si>
    <t>=TOROW(A2:B5,1,FALSE)</t>
  </si>
  <si>
    <t>=TOROW(A2:B5,1,TRUE)</t>
  </si>
  <si>
    <t>Apple</t>
  </si>
  <si>
    <t>Banana</t>
  </si>
  <si>
    <t>Cherry</t>
  </si>
  <si>
    <t>Orange</t>
  </si>
  <si>
    <t>Mango</t>
  </si>
  <si>
    <t>Grapes</t>
  </si>
  <si>
    <t>Pineapple</t>
  </si>
  <si>
    <t>Watermelon</t>
  </si>
  <si>
    <t>Blueberry</t>
  </si>
  <si>
    <t>Kiwi</t>
  </si>
  <si>
    <t>Fruits</t>
  </si>
  <si>
    <t>=WRAPCOLS(A2:A11,3)</t>
  </si>
  <si>
    <t>=WRAPCOLS(A2:A11,3,"None")</t>
  </si>
  <si>
    <t>=WRAPROWS(A2:A11,3)</t>
  </si>
  <si>
    <t>=WRAPROWS(A2:A11,3,"None")</t>
  </si>
  <si>
    <t>Fruit</t>
  </si>
  <si>
    <t>$2.50</t>
  </si>
  <si>
    <t>Yes</t>
  </si>
  <si>
    <t>$1.20</t>
  </si>
  <si>
    <t>No</t>
  </si>
  <si>
    <t>Carrot</t>
  </si>
  <si>
    <t>Vegetable</t>
  </si>
  <si>
    <t>$0.90</t>
  </si>
  <si>
    <t>Tomato</t>
  </si>
  <si>
    <t>$1.50</t>
  </si>
  <si>
    <t>$3.00</t>
  </si>
  <si>
    <t>Potato</t>
  </si>
  <si>
    <t>$0.75</t>
  </si>
  <si>
    <t>Product</t>
  </si>
  <si>
    <t>Category</t>
  </si>
  <si>
    <t>Price</t>
  </si>
  <si>
    <t>Stock Available</t>
  </si>
  <si>
    <t>=CHOOSECOLS(A1:D7,1,3)</t>
  </si>
  <si>
    <t>=CHOOSECOLS(A1:D7,4,3)</t>
  </si>
  <si>
    <t>=CHOOSEROWS(A1:D7,1,3,5)</t>
  </si>
  <si>
    <t>=CHOOSEROWS(A1:D7,-1,2,-2)</t>
  </si>
  <si>
    <t>=CHOOSECOLS(A1:D7,-2)</t>
  </si>
  <si>
    <t>=TAKE(A1:D7,3)</t>
  </si>
  <si>
    <t>=TAKE(A1:D7,4,3)</t>
  </si>
  <si>
    <t>=TAKE(A1:D7,-2)</t>
  </si>
  <si>
    <t>=TAKE(A1:D7,,2)</t>
  </si>
  <si>
    <t>=TAKE(A1:D7,,-3)</t>
  </si>
  <si>
    <t>=DROP(A1:D7,2)</t>
  </si>
  <si>
    <t>=DROP(A1:D7,-3)</t>
  </si>
  <si>
    <t>=DROP(A1:D7,,1)</t>
  </si>
  <si>
    <t>=DROP(A1:D7,-3,-2)</t>
  </si>
  <si>
    <t>=EXPAND(A1:C5,6,5,"N/A")</t>
  </si>
  <si>
    <t>=EXPAND(A1:C5,7,,"Out of Stock")</t>
  </si>
  <si>
    <t>=EXPAND(A1:C5,,6,"Unknown")</t>
  </si>
  <si>
    <r>
      <t xml:space="preserve">TEXTJOIN – </t>
    </r>
    <r>
      <rPr>
        <sz val="11"/>
        <rFont val="Calibri"/>
        <family val="2"/>
        <scheme val="minor"/>
      </rPr>
      <t>Combines multiple text strings into one, using a specified delimiter while optionally ignoring empty cells.</t>
    </r>
  </si>
  <si>
    <t>Score</t>
  </si>
  <si>
    <t>John</t>
  </si>
  <si>
    <t>Alice</t>
  </si>
  <si>
    <t>David</t>
  </si>
  <si>
    <t>Emma</t>
  </si>
  <si>
    <t>Bob</t>
  </si>
  <si>
    <t>=SORT(A2:B6, 1, 1)</t>
  </si>
  <si>
    <t>SORT(array, [sort_index], [sort_order], [by_col])</t>
  </si>
  <si>
    <r>
      <t>* array</t>
    </r>
    <r>
      <rPr>
        <sz val="11"/>
        <color theme="1"/>
        <rFont val="Calibri"/>
        <family val="2"/>
        <scheme val="minor"/>
      </rPr>
      <t xml:space="preserve"> – The range of data to be sorted.</t>
    </r>
  </si>
  <si>
    <r>
      <t>* sort_index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 xml:space="preserve"> – The column (or row) number to sort by (default is 1).</t>
    </r>
  </si>
  <si>
    <r>
      <t>* sort_order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 xml:space="preserve"> – 1 for ascending (default), -1 for descending.</t>
    </r>
  </si>
  <si>
    <r>
      <t>* by_col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  <r>
      <rPr>
        <sz val="11"/>
        <color theme="1"/>
        <rFont val="Calibri"/>
        <family val="2"/>
        <scheme val="minor"/>
      </rPr>
      <t xml:space="preserve"> – TRUE for sorting by column, FALSE for sorting by row (default).</t>
    </r>
  </si>
  <si>
    <t>=SORT(A2:B6, 2, -1)</t>
  </si>
  <si>
    <t>=SORT(A2:B6, {2,1}, {-1,1})</t>
  </si>
  <si>
    <t>SORTBY(array, by_array1, [sort_order1], [by_array2], [sort_order2], ...)</t>
  </si>
  <si>
    <r>
      <rPr>
        <b/>
        <sz val="11"/>
        <color theme="1"/>
        <rFont val="Calibri"/>
        <family val="2"/>
        <scheme val="minor"/>
      </rPr>
      <t>* array</t>
    </r>
    <r>
      <rPr>
        <sz val="11"/>
        <color theme="1"/>
        <rFont val="Calibri"/>
        <family val="2"/>
        <scheme val="minor"/>
      </rPr>
      <t xml:space="preserve"> – The range of data to be sorted.</t>
    </r>
  </si>
  <si>
    <r>
      <rPr>
        <b/>
        <sz val="11"/>
        <color theme="1"/>
        <rFont val="Calibri"/>
        <family val="2"/>
        <scheme val="minor"/>
      </rPr>
      <t>* by_array1</t>
    </r>
    <r>
      <rPr>
        <sz val="11"/>
        <color theme="1"/>
        <rFont val="Calibri"/>
        <family val="2"/>
        <scheme val="minor"/>
      </rPr>
      <t xml:space="preserve"> – The first column/row used for sorting.</t>
    </r>
  </si>
  <si>
    <r>
      <rPr>
        <b/>
        <sz val="11"/>
        <color theme="1"/>
        <rFont val="Calibri"/>
        <family val="2"/>
        <scheme val="minor"/>
      </rPr>
      <t>* sort_order1</t>
    </r>
    <r>
      <rPr>
        <sz val="11"/>
        <color theme="1"/>
        <rFont val="Calibri"/>
        <family val="2"/>
        <scheme val="minor"/>
      </rPr>
      <t xml:space="preserve"> (optional) – Sorting order (1 = ascending, -1 = descending).</t>
    </r>
  </si>
  <si>
    <r>
      <rPr>
        <b/>
        <sz val="11"/>
        <color theme="1"/>
        <rFont val="Calibri"/>
        <family val="2"/>
        <scheme val="minor"/>
      </rPr>
      <t>* by_array2, sort_order2</t>
    </r>
    <r>
      <rPr>
        <sz val="11"/>
        <color theme="1"/>
        <rFont val="Calibri"/>
        <family val="2"/>
        <scheme val="minor"/>
      </rPr>
      <t xml:space="preserve"> (optional) – Additional sorting columns and their order.</t>
    </r>
  </si>
  <si>
    <t>Employee</t>
  </si>
  <si>
    <t>Department</t>
  </si>
  <si>
    <t>Sales ($)</t>
  </si>
  <si>
    <t>HR</t>
  </si>
  <si>
    <t>IT</t>
  </si>
  <si>
    <t>=SORTBY(A24:C28, C24:C28, -1)</t>
  </si>
  <si>
    <t>=SORTBY(A24:C28, B24:B28, 1, C24:C28, -1)</t>
  </si>
  <si>
    <t>=SORTBY(A24:A28, C24:C28, -1)</t>
  </si>
  <si>
    <r>
      <t xml:space="preserve">Key Benefits of </t>
    </r>
    <r>
      <rPr>
        <b/>
        <sz val="10"/>
        <color theme="1"/>
        <rFont val="Arial Unicode MS"/>
      </rPr>
      <t>SORTBY</t>
    </r>
  </si>
  <si>
    <r>
      <t xml:space="preserve">✅ </t>
    </r>
    <r>
      <rPr>
        <b/>
        <sz val="11"/>
        <color theme="1"/>
        <rFont val="Calibri"/>
        <family val="2"/>
        <scheme val="minor"/>
      </rPr>
      <t>Sorts dynamically</t>
    </r>
    <r>
      <rPr>
        <sz val="11"/>
        <color theme="1"/>
        <rFont val="Calibri"/>
        <family val="2"/>
        <scheme val="minor"/>
      </rPr>
      <t xml:space="preserve"> – Updates automatically when data changes.</t>
    </r>
  </si>
  <si>
    <r>
      <t xml:space="preserve">✅ </t>
    </r>
    <r>
      <rPr>
        <b/>
        <sz val="11"/>
        <color theme="1"/>
        <rFont val="Calibri"/>
        <family val="2"/>
        <scheme val="minor"/>
      </rPr>
      <t>Sorts by hidden columns</t>
    </r>
    <r>
      <rPr>
        <sz val="11"/>
        <color theme="1"/>
        <rFont val="Calibri"/>
        <family val="2"/>
        <scheme val="minor"/>
      </rPr>
      <t xml:space="preserve"> – Can use a column that is not displayed in the output.</t>
    </r>
  </si>
  <si>
    <r>
      <t xml:space="preserve">✅ </t>
    </r>
    <r>
      <rPr>
        <b/>
        <sz val="11"/>
        <color theme="1"/>
        <rFont val="Calibri"/>
        <family val="2"/>
        <scheme val="minor"/>
      </rPr>
      <t>Sorts by multiple criteria</t>
    </r>
    <r>
      <rPr>
        <sz val="11"/>
        <color theme="1"/>
        <rFont val="Calibri"/>
        <family val="2"/>
        <scheme val="minor"/>
      </rPr>
      <t xml:space="preserve"> – Allows sorting by multiple columns easily.</t>
    </r>
  </si>
  <si>
    <t>=FILTER(A2:C6, B2:B6="IT", "No Data Found")</t>
  </si>
  <si>
    <t>=FILTER(A2:C6, B2:B6="Mktg", "No Data Found")</t>
  </si>
  <si>
    <t>=FILTER(A2:C6, C2:C6&gt;7000, "No Data Found")</t>
  </si>
  <si>
    <t>=FILTER(A2:C6, (B2:B6="IT") * (C2:C6&gt;8500), "No Data Found")</t>
  </si>
  <si>
    <t>=FILTER(A2:C6, (B2:B6="IT") + (B2:B6="HR"), "No Data Found")</t>
  </si>
  <si>
    <t>Chris</t>
  </si>
  <si>
    <t>Finance</t>
  </si>
  <si>
    <t>=UNIQUE(B2:B8)</t>
  </si>
  <si>
    <t>=UNIQUE(A2:B8)</t>
  </si>
  <si>
    <t>=UNIQUE(B2:B8,,TRUE)</t>
  </si>
  <si>
    <t>=UNIQUE(A2:A8,,TRUE)</t>
  </si>
  <si>
    <t>=SEQUENCE(10)</t>
  </si>
  <si>
    <t>=SEQUENCE(1,5)</t>
  </si>
  <si>
    <t>Dates</t>
  </si>
  <si>
    <t>Numbers</t>
  </si>
  <si>
    <t>=SEQUENCE(10,1,1,5)</t>
  </si>
  <si>
    <t>=SEQUENCE(4,3,10,5)</t>
  </si>
  <si>
    <t>=SEQUENCE(10,1,TODAY(),1)</t>
  </si>
  <si>
    <t>=RANDARRAY(3,3)</t>
  </si>
  <si>
    <t>=RANDARRAY(5,2,1,100,TRUE)</t>
  </si>
  <si>
    <t>=RANDARRAY(5,2,1,100,FALSE)</t>
  </si>
  <si>
    <t>Salary</t>
  </si>
  <si>
    <t>=RANDARRAY(10,1,30000,100000,TRUE)</t>
  </si>
  <si>
    <t>Date</t>
  </si>
  <si>
    <t>Division</t>
  </si>
  <si>
    <t>Sales Manager</t>
  </si>
  <si>
    <t>Added Conditional Formatting:</t>
  </si>
  <si>
    <t>Utility</t>
  </si>
  <si>
    <t>Christopher Moltisanti</t>
  </si>
  <si>
    <t>ClimateControl</t>
  </si>
  <si>
    <t>Year</t>
  </si>
  <si>
    <t>Sales Person</t>
  </si>
  <si>
    <t>Total Sales</t>
  </si>
  <si>
    <t>Productivity</t>
  </si>
  <si>
    <t>Miriam Maisel</t>
  </si>
  <si>
    <t>GoalSetter</t>
  </si>
  <si>
    <t>Rachel Green</t>
  </si>
  <si>
    <t>FocusBoost</t>
  </si>
  <si>
    <t>Mike Delfino</t>
  </si>
  <si>
    <t>Health</t>
  </si>
  <si>
    <t>Jesse Pinkman</t>
  </si>
  <si>
    <t>FitTrack</t>
  </si>
  <si>
    <t>SmartGrid</t>
  </si>
  <si>
    <t>Walter White</t>
  </si>
  <si>
    <t>WellnessMonitor</t>
  </si>
  <si>
    <t>VitalitySensor</t>
  </si>
  <si>
    <t>Efficienizer</t>
  </si>
  <si>
    <t>=GROUPBY(HSTACK(YEAR(A2:A313),C2:C313),E2:E313,SUM,,2,-1,LEFT(A2:A313,5)&lt;&gt;"Total")</t>
  </si>
  <si>
    <t>HealthPlus</t>
  </si>
  <si>
    <t>=PIVOTBY(C2:C313,YEAR(A2:A313),E2:E313,SUM,,,,,,C2:C313&lt;&gt;"")</t>
  </si>
  <si>
    <t>TimeTracker</t>
  </si>
  <si>
    <t>EcoLight</t>
  </si>
  <si>
    <t>NutriWatch</t>
  </si>
  <si>
    <t>LifeBalance</t>
  </si>
  <si>
    <t>Total Quarter 1 (2022)</t>
  </si>
  <si>
    <t>PlanAhead</t>
  </si>
  <si>
    <t>TaskMaster</t>
  </si>
  <si>
    <t>PowerSaver</t>
  </si>
  <si>
    <t>ResourceManager</t>
  </si>
  <si>
    <t>WaterWorks</t>
  </si>
  <si>
    <t>Total Quarter 2 (2022)</t>
  </si>
  <si>
    <t>Total Half Year (2022)</t>
  </si>
  <si>
    <t>Total Quarter 3 (2022)</t>
  </si>
  <si>
    <t>Total Quarter 4 (2022)</t>
  </si>
  <si>
    <t>Total Year (2022)</t>
  </si>
  <si>
    <t>Total Quarter 1 (2023)</t>
  </si>
  <si>
    <t>Total Quarter 2 (2023)</t>
  </si>
  <si>
    <t>Total Half Year (2023)</t>
  </si>
  <si>
    <t>Total Quarter 3 (2023)</t>
  </si>
  <si>
    <t>Total Quarter 4 (2023)</t>
  </si>
  <si>
    <t>Total Year (2023)</t>
  </si>
  <si>
    <t>Manager</t>
  </si>
  <si>
    <t>Period</t>
  </si>
  <si>
    <t>Year-Month</t>
  </si>
  <si>
    <t>Sales Employee</t>
  </si>
  <si>
    <t>6,</t>
  </si>
  <si>
    <t>Use a Formula to determine which cells to format</t>
  </si>
  <si>
    <t>=GROUPBY(TSales[[Division]:[Product]],TSales[Sales],SUM,,2,1)</t>
  </si>
  <si>
    <t>=GROUPBY(TSales[Division],TSales[Sales Manager],LAMBDA(a,ARRAYTOTEXT(UNIQUE(a))))</t>
  </si>
  <si>
    <t>=UNIQUE(TSales[Division])</t>
  </si>
  <si>
    <t>=ARRAYTOTEXT(UNIQUE(TSales[Division]))</t>
  </si>
  <si>
    <t>=GROUPBY(TEXT(TSales[Date],"yyyy-mm"),TSales[Sales],SUM)</t>
  </si>
  <si>
    <t>=GROUPBY(HSTACK(TEXT(TSales[Date],"yyyy-mm"),TSales[Sales Manager]),TSales[Sales],SUM)</t>
  </si>
  <si>
    <t>=PIVOTBY(TSales[[Sales Manager]:[Product]],YEAR(TSales[Date]),TSales[Sales],SUM,,,,0)</t>
  </si>
  <si>
    <r>
      <rPr>
        <b/>
        <sz val="11"/>
        <color rgb="FFC00000"/>
        <rFont val="Calibri"/>
        <family val="2"/>
        <scheme val="minor"/>
      </rPr>
      <t>TEXTSPLIT</t>
    </r>
    <r>
      <rPr>
        <sz val="11"/>
        <color rgb="FFC00000"/>
        <rFont val="Calibri"/>
        <family val="2"/>
        <scheme val="minor"/>
      </rPr>
      <t xml:space="preserve"> – </t>
    </r>
    <r>
      <rPr>
        <sz val="11"/>
        <color theme="1"/>
        <rFont val="Calibri"/>
        <family val="2"/>
        <scheme val="minor"/>
      </rPr>
      <t>Splits a text string into multiple cells based on a specified delimiter.</t>
    </r>
  </si>
  <si>
    <r>
      <rPr>
        <b/>
        <sz val="11"/>
        <color rgb="FFC00000"/>
        <rFont val="Calibri"/>
        <family val="2"/>
        <scheme val="minor"/>
      </rPr>
      <t>TEXTBEFORE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Extracts the text that appears before a given delimiter in a string.</t>
    </r>
  </si>
  <si>
    <r>
      <rPr>
        <b/>
        <sz val="11"/>
        <color rgb="FFC00000"/>
        <rFont val="Calibri"/>
        <family val="2"/>
        <scheme val="minor"/>
      </rPr>
      <t>TEXTAFTER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Extracts the text that appears after a given delimiter in a string.</t>
    </r>
  </si>
  <si>
    <r>
      <rPr>
        <b/>
        <sz val="11"/>
        <color rgb="FFC00000"/>
        <rFont val="Calibri"/>
        <family val="2"/>
        <scheme val="minor"/>
      </rPr>
      <t>VSTACK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Stacks multiple arrays vertically into a single columnar array.</t>
    </r>
  </si>
  <si>
    <r>
      <rPr>
        <b/>
        <sz val="11"/>
        <color rgb="FFC00000"/>
        <rFont val="Calibri"/>
        <family val="2"/>
        <scheme val="minor"/>
      </rPr>
      <t>HSTACK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Stacks multiple arrays horizontally into a single row-based array.</t>
    </r>
  </si>
  <si>
    <r>
      <rPr>
        <b/>
        <sz val="11"/>
        <color rgb="FFC00000"/>
        <rFont val="Calibri"/>
        <family val="2"/>
        <scheme val="minor"/>
      </rPr>
      <t>TOCOL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Converts a given range or array into a single-column array.</t>
    </r>
  </si>
  <si>
    <r>
      <rPr>
        <b/>
        <sz val="11"/>
        <color rgb="FFC00000"/>
        <rFont val="Calibri"/>
        <family val="2"/>
        <scheme val="minor"/>
      </rPr>
      <t>TOROW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Converts a given range or array into a single-row array.</t>
    </r>
  </si>
  <si>
    <r>
      <rPr>
        <b/>
        <sz val="11"/>
        <color rgb="FFC00000"/>
        <rFont val="Calibri"/>
        <family val="2"/>
        <scheme val="minor"/>
      </rPr>
      <t>WRAPCOLS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Rearranges a single-row or column range into multiple columns of specified width.</t>
    </r>
  </si>
  <si>
    <r>
      <rPr>
        <b/>
        <sz val="11"/>
        <color rgb="FFC00000"/>
        <rFont val="Calibri"/>
        <family val="2"/>
        <scheme val="minor"/>
      </rPr>
      <t>WRAPROWS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Rearranges a single-column or row range into multiple rows of specified height.</t>
    </r>
  </si>
  <si>
    <r>
      <rPr>
        <b/>
        <sz val="11"/>
        <color rgb="FFC00000"/>
        <rFont val="Calibri"/>
        <family val="2"/>
        <scheme val="minor"/>
      </rPr>
      <t>CHOOSECOLS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Selects and returns specific columns from a range or array.</t>
    </r>
  </si>
  <si>
    <r>
      <rPr>
        <b/>
        <sz val="11"/>
        <color rgb="FFC00000"/>
        <rFont val="Calibri"/>
        <family val="2"/>
        <scheme val="minor"/>
      </rPr>
      <t>CHOOSEROWS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Selects and returns specific rows from a range or array.</t>
    </r>
  </si>
  <si>
    <r>
      <rPr>
        <b/>
        <sz val="11"/>
        <color rgb="FFC00000"/>
        <rFont val="Calibri"/>
        <family val="2"/>
        <scheme val="minor"/>
      </rPr>
      <t>TAKE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Extracts a specified number of rows or columns from the start or end of a dataset.</t>
    </r>
  </si>
  <si>
    <r>
      <rPr>
        <b/>
        <sz val="11"/>
        <color rgb="FFC00000"/>
        <rFont val="Calibri"/>
        <family val="2"/>
        <scheme val="minor"/>
      </rPr>
      <t>DROP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Removes a specified number of rows or columns from the start or end of a dataset.</t>
    </r>
  </si>
  <si>
    <r>
      <rPr>
        <b/>
        <sz val="11"/>
        <color rgb="FFC00000"/>
        <rFont val="Calibri"/>
        <family val="2"/>
        <scheme val="minor"/>
      </rPr>
      <t>EXPAND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Resizes an array to a specified number of rows and columns, filling empty spaces with a given value.</t>
    </r>
  </si>
  <si>
    <t>Q1 Sales</t>
  </si>
  <si>
    <t>Q2 Sales</t>
  </si>
  <si>
    <t>Q3 Sales</t>
  </si>
  <si>
    <t>Q4 Sales</t>
  </si>
  <si>
    <t>=BYROW(B2:E4, LAMBDA(row, SUM(row)))</t>
  </si>
  <si>
    <t>Max Sales</t>
  </si>
  <si>
    <t>Avg Sales</t>
  </si>
  <si>
    <t>=BYCOL(B2:F4, LAMBDA(column, SUM(column)))</t>
  </si>
  <si>
    <t>=BYROW(B8:E10, LAMBDA(row, MAX(row)))</t>
  </si>
  <si>
    <t>=BYROW(B14:E16, LAMBDA(row, AVERAGE(row)))</t>
  </si>
  <si>
    <t>=BYCOL(B8:F10, LAMBDA(column, AVERAGE(column)))</t>
  </si>
  <si>
    <t>=BYCOL(B14:F16, LAMBDA(column, MAX(column)))</t>
  </si>
  <si>
    <r>
      <rPr>
        <b/>
        <sz val="11"/>
        <color rgb="FFC00000"/>
        <rFont val="Calibri"/>
        <family val="2"/>
        <scheme val="minor"/>
      </rPr>
      <t>BYROW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Applies a LAMBDA function to each row of an array.</t>
    </r>
  </si>
  <si>
    <r>
      <rPr>
        <b/>
        <sz val="11"/>
        <color rgb="FFC00000"/>
        <rFont val="Calibri"/>
        <family val="2"/>
        <scheme val="minor"/>
      </rPr>
      <t>BYCOL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Applies a LAMBDA function to each column of an array.</t>
    </r>
  </si>
  <si>
    <t>row-1</t>
  </si>
  <si>
    <t>row-2</t>
  </si>
  <si>
    <t>row-3</t>
  </si>
  <si>
    <t>col-1</t>
  </si>
  <si>
    <t>col-2</t>
  </si>
  <si>
    <t>col-3</t>
  </si>
  <si>
    <t>col-4</t>
  </si>
  <si>
    <t>=MAKEARRAY(3, 4, LAMBDA(r, c, r + c))</t>
  </si>
  <si>
    <t>Generate a 3×4 matrix where each value is the sum of its row and column index.</t>
  </si>
  <si>
    <t>col-5</t>
  </si>
  <si>
    <t>=MAKEARRAY(3, 5, LAMBDA(r,c, RANDBETWEEN(1, 100)))</t>
  </si>
  <si>
    <t>Generate a 5×3 matrix with random numbers between 1 and 100.</t>
  </si>
  <si>
    <t>Generate a 4×4 multiplication table.</t>
  </si>
  <si>
    <t>row-4</t>
  </si>
  <si>
    <t>=MAKEARRAY(4, 4, LAMBDA(r,c, r * c))</t>
  </si>
  <si>
    <r>
      <rPr>
        <b/>
        <sz val="11"/>
        <color rgb="FFC00000"/>
        <rFont val="Calibri"/>
        <family val="2"/>
        <scheme val="minor"/>
      </rPr>
      <t>MAKEARRAY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Creates an array with values generated dynamically using a LAMBDA function.</t>
    </r>
  </si>
  <si>
    <t>Output-1</t>
  </si>
  <si>
    <t>Output-2</t>
  </si>
  <si>
    <t>Output-3</t>
  </si>
  <si>
    <t>=CONCAT(A20, " ",B20)</t>
  </si>
  <si>
    <t>=CONCAT(A20:B20)</t>
  </si>
  <si>
    <t>=TEXTJOIN(" ",TRUE,A20:B20)</t>
  </si>
  <si>
    <t>Laptop</t>
  </si>
  <si>
    <t>Phone</t>
  </si>
  <si>
    <t>Output</t>
  </si>
  <si>
    <t>Charger</t>
  </si>
  <si>
    <t>Mouse</t>
  </si>
  <si>
    <t>Pen Drive</t>
  </si>
  <si>
    <t>=CONCAT("The price of ", A27, " is ", B27)</t>
  </si>
  <si>
    <r>
      <rPr>
        <b/>
        <sz val="11"/>
        <color rgb="FFC00000"/>
        <rFont val="Calibri"/>
        <family val="2"/>
        <scheme val="minor"/>
      </rPr>
      <t xml:space="preserve">CONCAT – </t>
    </r>
    <r>
      <rPr>
        <sz val="11"/>
        <color theme="1"/>
        <rFont val="Calibri"/>
        <family val="2"/>
        <scheme val="minor"/>
      </rPr>
      <t>Joins multiple text strings together without a delimiter.</t>
    </r>
  </si>
  <si>
    <r>
      <rPr>
        <b/>
        <sz val="11"/>
        <color rgb="FFC00000"/>
        <rFont val="Calibri"/>
        <family val="2"/>
        <scheme val="minor"/>
      </rPr>
      <t>XMATCH –</t>
    </r>
    <r>
      <rPr>
        <sz val="11"/>
        <color theme="1"/>
        <rFont val="Calibri"/>
        <family val="2"/>
        <scheme val="minor"/>
      </rPr>
      <t xml:space="preserve"> It searches for a value in a range and returns its relative position, with advanced matching options.</t>
    </r>
  </si>
  <si>
    <r>
      <rPr>
        <b/>
        <sz val="10"/>
        <color rgb="FFC00000"/>
        <rFont val="Calibri"/>
        <family val="2"/>
        <scheme val="minor"/>
      </rPr>
      <t>LAMBDA</t>
    </r>
    <r>
      <rPr>
        <b/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It creates custom reusable functions with named parameters, enabling dynamic and recursive calculations without VBA or macros.</t>
    </r>
  </si>
  <si>
    <r>
      <rPr>
        <b/>
        <sz val="11"/>
        <color rgb="FFC00000"/>
        <rFont val="Calibri"/>
        <family val="2"/>
        <scheme val="minor"/>
      </rPr>
      <t>ARRAYTOTEXT –</t>
    </r>
    <r>
      <rPr>
        <sz val="11"/>
        <color theme="1"/>
        <rFont val="Calibri"/>
        <family val="2"/>
        <scheme val="minor"/>
      </rPr>
      <t xml:space="preserve"> This function in Excel O365 converts an array or range into a text string, with options for concise or detailed formatting.</t>
    </r>
  </si>
  <si>
    <r>
      <rPr>
        <b/>
        <sz val="11"/>
        <color rgb="FFC00000"/>
        <rFont val="Calibri"/>
        <family val="2"/>
        <scheme val="minor"/>
      </rPr>
      <t xml:space="preserve">PIVOTBY – </t>
    </r>
    <r>
      <rPr>
        <sz val="11"/>
        <color theme="1"/>
        <rFont val="Calibri"/>
        <family val="2"/>
        <scheme val="minor"/>
      </rPr>
      <t>It dynamically reshapes data by turning unique values from a column into headers while applying an aggregation function.</t>
    </r>
  </si>
  <si>
    <r>
      <rPr>
        <b/>
        <sz val="11"/>
        <color rgb="FFC00000"/>
        <rFont val="Calibri"/>
        <family val="2"/>
        <scheme val="minor"/>
      </rPr>
      <t>GROUPBY –</t>
    </r>
    <r>
      <rPr>
        <sz val="11"/>
        <color theme="1"/>
        <rFont val="Calibri"/>
        <family val="2"/>
        <scheme val="minor"/>
      </rPr>
      <t xml:space="preserve"> It aggregates data by grouping rows based on a specified column and applying an aggregation function.</t>
    </r>
  </si>
  <si>
    <r>
      <rPr>
        <b/>
        <sz val="11"/>
        <color rgb="FFC00000"/>
        <rFont val="Calibri"/>
        <family val="2"/>
        <scheme val="minor"/>
      </rPr>
      <t>SEQUENCE –</t>
    </r>
    <r>
      <rPr>
        <sz val="11"/>
        <color theme="1"/>
        <rFont val="Calibri"/>
        <family val="2"/>
        <scheme val="minor"/>
      </rPr>
      <t xml:space="preserve"> It generates an array of sequential numbers in a specified row and column format, with customizable start and step values.</t>
    </r>
  </si>
  <si>
    <r>
      <rPr>
        <b/>
        <sz val="11"/>
        <color rgb="FFC00000"/>
        <rFont val="Calibri"/>
        <family val="2"/>
        <scheme val="minor"/>
      </rPr>
      <t xml:space="preserve">SORT – </t>
    </r>
    <r>
      <rPr>
        <sz val="11"/>
        <color theme="1"/>
        <rFont val="Calibri"/>
        <family val="2"/>
        <scheme val="minor"/>
      </rPr>
      <t>The SORT function in Excel dynamically sorts a range or array based on a specified column in ascending or descending order.</t>
    </r>
  </si>
  <si>
    <r>
      <rPr>
        <b/>
        <sz val="11"/>
        <color rgb="FFC00000"/>
        <rFont val="Calibri"/>
        <family val="2"/>
        <scheme val="minor"/>
      </rPr>
      <t>SORTBY –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 dynamically sorts a range or array based on one or more specified columns, without altering the original dataset.</t>
    </r>
  </si>
  <si>
    <r>
      <rPr>
        <b/>
        <sz val="11"/>
        <color rgb="FFC00000"/>
        <rFont val="Calibri"/>
        <family val="2"/>
        <scheme val="minor"/>
      </rPr>
      <t>FILTER –</t>
    </r>
    <r>
      <rPr>
        <sz val="11"/>
        <color theme="1"/>
        <rFont val="Calibri"/>
        <family val="2"/>
        <scheme val="minor"/>
      </rPr>
      <t xml:space="preserve"> The FILTER function extracts and returns matching data from a range based on specified conditions, updating dynamically.</t>
    </r>
  </si>
  <si>
    <r>
      <rPr>
        <b/>
        <sz val="11"/>
        <color rgb="FFC00000"/>
        <rFont val="Calibri"/>
        <family val="2"/>
        <scheme val="minor"/>
      </rPr>
      <t>UNIQUE –</t>
    </r>
    <r>
      <rPr>
        <sz val="11"/>
        <color theme="1"/>
        <rFont val="Calibri"/>
        <family val="2"/>
        <scheme val="minor"/>
      </rPr>
      <t xml:space="preserve"> The UNIQUE function in Excel returns a list of distinct values from a specified range, removing duplicates dynamically.</t>
    </r>
  </si>
  <si>
    <t>FIN</t>
  </si>
  <si>
    <t>MKT</t>
  </si>
  <si>
    <t>Dept Code</t>
  </si>
  <si>
    <t>Grade</t>
  </si>
  <si>
    <t>QC</t>
  </si>
  <si>
    <t>=SWITCH(TRUE, C2&gt;=90, "A", C2&gt;=80, "B", C2&gt;=70, "C", C2&gt;=60, "D", "F")</t>
  </si>
  <si>
    <t>Dept Name</t>
  </si>
  <si>
    <t>=SWITCH(B2, "HR", "Human Resources", "IT", "Information Technology", "FIN", "Finance", "MKT", "Marketing", "Unknown")</t>
  </si>
  <si>
    <t>Rating</t>
  </si>
  <si>
    <t>Performance Level</t>
  </si>
  <si>
    <t>=SWITCH(D2, 5, "Excellent", 4, "Good", 3, "Average", 2, "Below Average", 1, "Poor", "Not Rated")</t>
  </si>
  <si>
    <r>
      <rPr>
        <b/>
        <sz val="11"/>
        <color rgb="FFC00000"/>
        <rFont val="Calibri"/>
        <family val="2"/>
        <scheme val="minor"/>
      </rPr>
      <t>SWITCH –</t>
    </r>
    <r>
      <rPr>
        <sz val="11"/>
        <color theme="1"/>
        <rFont val="Calibri"/>
        <family val="2"/>
        <scheme val="minor"/>
      </rPr>
      <t xml:space="preserve"> Compares a value against a list and returns a corresponding result.</t>
    </r>
  </si>
  <si>
    <t>Coconut</t>
  </si>
  <si>
    <t>=TRANSPOSE(A1:A6)</t>
  </si>
  <si>
    <t>=TRANSPOSE(A8:D12)</t>
  </si>
  <si>
    <r>
      <t xml:space="preserve">If you </t>
    </r>
    <r>
      <rPr>
        <b/>
        <sz val="11"/>
        <color rgb="FFC00000"/>
        <rFont val="Calibri"/>
        <family val="2"/>
        <scheme val="minor"/>
      </rPr>
      <t>manually copy and paste transposed data</t>
    </r>
    <r>
      <rPr>
        <sz val="11"/>
        <color rgb="FFC00000"/>
        <rFont val="Calibri"/>
        <family val="2"/>
        <scheme val="minor"/>
      </rPr>
      <t xml:space="preserve">, changes in the source </t>
    </r>
    <r>
      <rPr>
        <b/>
        <sz val="11"/>
        <color rgb="FFC00000"/>
        <rFont val="Calibri"/>
        <family val="2"/>
        <scheme val="minor"/>
      </rPr>
      <t>won’t reflect</t>
    </r>
    <r>
      <rPr>
        <sz val="11"/>
        <color rgb="FFC00000"/>
        <rFont val="Calibri"/>
        <family val="2"/>
        <scheme val="minor"/>
      </rPr>
      <t>.</t>
    </r>
  </si>
  <si>
    <r>
      <t xml:space="preserve">Using </t>
    </r>
    <r>
      <rPr>
        <sz val="10"/>
        <color rgb="FFC00000"/>
        <rFont val="Arial Unicode MS"/>
      </rPr>
      <t>TRANSPOSE</t>
    </r>
    <r>
      <rPr>
        <sz val="11"/>
        <color rgb="FFC00000"/>
        <rFont val="Calibri"/>
        <family val="2"/>
        <scheme val="minor"/>
      </rPr>
      <t xml:space="preserve">, the data </t>
    </r>
    <r>
      <rPr>
        <b/>
        <sz val="11"/>
        <color rgb="FFC00000"/>
        <rFont val="Calibri"/>
        <family val="2"/>
        <scheme val="minor"/>
      </rPr>
      <t>updates automatically</t>
    </r>
    <r>
      <rPr>
        <sz val="11"/>
        <color rgb="FFC00000"/>
        <rFont val="Calibri"/>
        <family val="2"/>
        <scheme val="minor"/>
      </rPr>
      <t xml:space="preserve"> when the original values change.</t>
    </r>
  </si>
  <si>
    <r>
      <rPr>
        <b/>
        <sz val="11"/>
        <color rgb="FFC00000"/>
        <rFont val="Calibri"/>
        <family val="2"/>
        <scheme val="minor"/>
      </rPr>
      <t>TRANSPOSE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Converts rows to columns and vice versa.</t>
    </r>
  </si>
  <si>
    <t>Running Total</t>
  </si>
  <si>
    <t>Cumulative Product</t>
  </si>
  <si>
    <t>Guava</t>
  </si>
  <si>
    <t>Progressive String</t>
  </si>
  <si>
    <t>=SCAN("", A2:A5, LAMBDA(acc,val, acc &amp; " " &amp; val))</t>
  </si>
  <si>
    <r>
      <rPr>
        <b/>
        <sz val="11"/>
        <color rgb="FFC00000"/>
        <rFont val="Calibri"/>
        <family val="2"/>
        <scheme val="minor"/>
      </rPr>
      <t>SCAN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Scans through an array and applies a LAMBDA function to return an intermediate result at each step.</t>
    </r>
  </si>
  <si>
    <t>Average Score %</t>
  </si>
  <si>
    <t>Five Subjects Total</t>
  </si>
  <si>
    <t>Result</t>
  </si>
  <si>
    <t>=MAP(C2:C8, LAMBDA(x, x * 5))</t>
  </si>
  <si>
    <t>=MAP(C2:C8, LAMBDA(x, IF(x&gt;=75, "Pass", "Fail")))</t>
  </si>
  <si>
    <t>=MAP(A2:A8, B2:B8, LAMBDA(f,l, f &amp; " " &amp; l))</t>
  </si>
  <si>
    <r>
      <rPr>
        <b/>
        <sz val="11"/>
        <color rgb="FFC00000"/>
        <rFont val="Calibri"/>
        <family val="2"/>
        <scheme val="minor"/>
      </rPr>
      <t>MAP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Applies a LAMBDA function to each element in an array.</t>
    </r>
  </si>
  <si>
    <t>Words</t>
  </si>
  <si>
    <t>Hello</t>
  </si>
  <si>
    <t>To</t>
  </si>
  <si>
    <t>All</t>
  </si>
  <si>
    <t>Excel</t>
  </si>
  <si>
    <t>Users</t>
  </si>
  <si>
    <t>Product:</t>
  </si>
  <si>
    <t>Longest Name:</t>
  </si>
  <si>
    <t>Total:</t>
  </si>
  <si>
    <t>Concatenated String:</t>
  </si>
  <si>
    <t>=REDUCE(0, A2:A6, LAMBDA(acc,val, acc + val))</t>
  </si>
  <si>
    <t>=REDUCE(1, A2:A6, LAMBDA(acc,val, acc * val))</t>
  </si>
  <si>
    <t>=REDUCE("", B2:B6, LAMBDA(acc,val, IF(LEN(val) &gt; LEN(acc), val, acc)))</t>
  </si>
  <si>
    <t>=REDUCE("", C2:C6, LAMBDA(acc,val, acc &amp; " - " &amp; val))</t>
  </si>
  <si>
    <r>
      <rPr>
        <b/>
        <sz val="11"/>
        <color rgb="FFC00000"/>
        <rFont val="Calibri"/>
        <family val="2"/>
        <scheme val="minor"/>
      </rPr>
      <t>REDUCE</t>
    </r>
    <r>
      <rPr>
        <sz val="11"/>
        <color rgb="FFC00000"/>
        <rFont val="Calibri"/>
        <family val="2"/>
        <scheme val="minor"/>
      </rPr>
      <t xml:space="preserve"> – </t>
    </r>
    <r>
      <rPr>
        <sz val="11"/>
        <color theme="1"/>
        <rFont val="Calibri"/>
        <family val="2"/>
        <scheme val="minor"/>
      </rPr>
      <t>Iterates through an array and applies a LAMBDA function to accumulate a result.</t>
    </r>
  </si>
  <si>
    <t>Discount%</t>
  </si>
  <si>
    <t>Comment-1</t>
  </si>
  <si>
    <t>Comment-2</t>
  </si>
  <si>
    <t>The + operator acts as an OR condition (i.e., if either is TRUE, return "No name provided").</t>
  </si>
  <si>
    <t>Comment-3</t>
  </si>
  <si>
    <t>Comment-4</t>
  </si>
  <si>
    <t>=LAMBDA(x, IF(ISOMITTED(x), "No value provided", UPPER(x)))(A2)</t>
  </si>
  <si>
    <t>=LAMBDA(x, IF(ISOMITTED(x) + (x=""), "No name provided", UPPER(x)))(A2)</t>
  </si>
  <si>
    <t>=LAMBDA(price,discount, IF(ISOMITTED(discount) + (discount=""), price, price * (1 - discount)))(B2, C2)</t>
  </si>
  <si>
    <t>=LAMBDA(name, IF(ISOMITTED(name) + (name=""), "Have Some Fruits", name &amp; " is Good for Health"))(A2)</t>
  </si>
  <si>
    <r>
      <rPr>
        <b/>
        <sz val="11"/>
        <color rgb="FFC00000"/>
        <rFont val="Calibri"/>
        <family val="2"/>
        <scheme val="minor"/>
      </rPr>
      <t>ISOMITTED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Checks if an optional argument in a function has been omitted.</t>
    </r>
  </si>
  <si>
    <r>
      <rPr>
        <b/>
        <sz val="11"/>
        <color rgb="FFC00000"/>
        <rFont val="Calibri"/>
        <family val="2"/>
        <scheme val="minor"/>
      </rPr>
      <t>AGGREGATE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Performs calculations like SUM, AVERAGE, or MAX while ignoring hidden rows or errors.</t>
    </r>
  </si>
  <si>
    <t>Explanation</t>
  </si>
  <si>
    <r>
      <t>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SUM function</t>
    </r>
  </si>
  <si>
    <r>
      <t>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Ignores errors</t>
    </r>
  </si>
  <si>
    <r>
      <t>A2:A6</t>
    </r>
    <r>
      <rPr>
        <sz val="11"/>
        <color theme="1"/>
        <rFont val="Calibri"/>
        <family val="2"/>
        <scheme val="minor"/>
      </rPr>
      <t xml:space="preserve"> → Data range</t>
    </r>
  </si>
  <si>
    <t>=AGGREGATE(9, 6, A2:A6)</t>
  </si>
  <si>
    <t>=AGGREGATE(1, 6, A2:A6)</t>
  </si>
  <si>
    <t>AVERAGE Ignoring Errors</t>
  </si>
  <si>
    <t>=AGGREGATE(14, 6, A2:A6, 2)</t>
  </si>
  <si>
    <r>
      <t>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LARGE function</t>
    </r>
  </si>
  <si>
    <r>
      <t>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Finds the 2nd largest value</t>
    </r>
  </si>
  <si>
    <t>Count Values Ignoring Errors</t>
  </si>
  <si>
    <t>=AGGREGATE(2, 6, A2:A6)</t>
  </si>
  <si>
    <t>Function Number</t>
  </si>
  <si>
    <t>Function</t>
  </si>
  <si>
    <t>AVERAGE</t>
  </si>
  <si>
    <t>COUNT</t>
  </si>
  <si>
    <t>COUNTA</t>
  </si>
  <si>
    <t>MAX</t>
  </si>
  <si>
    <t>MIN</t>
  </si>
  <si>
    <t>PRODUCT</t>
  </si>
  <si>
    <t>STDEV.S</t>
  </si>
  <si>
    <t>STDEV.P</t>
  </si>
  <si>
    <t>SUM</t>
  </si>
  <si>
    <t>VAR.S</t>
  </si>
  <si>
    <t>VAR.P</t>
  </si>
  <si>
    <t>MEDIAN</t>
  </si>
  <si>
    <t>MODE.SNGL</t>
  </si>
  <si>
    <t>LARGE</t>
  </si>
  <si>
    <t>SMALL</t>
  </si>
  <si>
    <t>PERCENTILE.INC</t>
  </si>
  <si>
    <t>QUARTILE.INC</t>
  </si>
  <si>
    <t>PERCENTILE.EXC</t>
  </si>
  <si>
    <t>QUARTILE.EXC</t>
  </si>
  <si>
    <t>=TREND(B2:B6, A2:A6, A7:A8)</t>
  </si>
  <si>
    <t>We have sales data for the last 5 years and want to predict sales for the next 2 years.</t>
  </si>
  <si>
    <t>✅ Explanation: The function calculates a linear trend and predicts that sales will reach $15,000 in 2023 and $17,000 in 2024 based on the existing pattern.</t>
  </si>
  <si>
    <t>Month</t>
  </si>
  <si>
    <t>Price ($)</t>
  </si>
  <si>
    <t>=TREND(B11:B15, A11:A15, A16)</t>
  </si>
  <si>
    <t>We have price data for the last 5 months and want to predict the next month's price.</t>
  </si>
  <si>
    <t>✅ Explanation: The price increases by $5 each month, so Excel predicts $75 for June.</t>
  </si>
  <si>
    <t>Prediction</t>
  </si>
  <si>
    <t>Using TREND with No Known X-Values</t>
  </si>
  <si>
    <t>Excel will generate predicted values assuming the data follows a linear progression.</t>
  </si>
  <si>
    <t>=TREND(B19:B24)</t>
  </si>
  <si>
    <r>
      <rPr>
        <b/>
        <sz val="11"/>
        <color rgb="FFC00000"/>
        <rFont val="Calibri"/>
        <family val="2"/>
        <scheme val="minor"/>
      </rPr>
      <t>TREND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Predicts future values using linear regression based on existing data points.</t>
    </r>
  </si>
  <si>
    <r>
      <rPr>
        <b/>
        <sz val="11"/>
        <color rgb="FFC00000"/>
        <rFont val="Calibri"/>
        <family val="2"/>
        <scheme val="minor"/>
      </rPr>
      <t>OFFSET –</t>
    </r>
    <r>
      <rPr>
        <sz val="11"/>
        <color theme="1"/>
        <rFont val="Calibri"/>
        <family val="2"/>
        <scheme val="minor"/>
      </rPr>
      <t xml:space="preserve"> Returns a range offset from a reference.</t>
    </r>
  </si>
  <si>
    <t>Sl. No.</t>
  </si>
  <si>
    <t>Strawberry</t>
  </si>
  <si>
    <t>Papaya</t>
  </si>
  <si>
    <t>=OFFSET(B2,2,1)</t>
  </si>
  <si>
    <t>✅ Explanation:
Start at B2 (Product).
Move 2 rows down → B4 (Orange).
Move 1 column right → C4 (9000).</t>
  </si>
  <si>
    <t>✅ Explanation:
Start at C2 (5000).
Height = 3 (Include C2:C4).
Width = 1 (1 column wide).
Sum of 5000 + 7000 + 9000 = 21000.</t>
  </si>
  <si>
    <t>=SUM(OFFSET(C2,0,0,3,1))</t>
  </si>
  <si>
    <t>=OFFSET(C2,0,0,COUNTA(C:C)-1,1)</t>
  </si>
  <si>
    <t>Dynamic Range for Charts</t>
  </si>
  <si>
    <t>Explanation: Automatically adjusts to new rows in column C.</t>
  </si>
  <si>
    <t>✅ Explanation:
Looks for "Mango" in A2:A6.
Returns the corresponding value from B2:B6 (60).</t>
  </si>
  <si>
    <t>=XLOOKUP("Mango", A2:A6, B2:B6)</t>
  </si>
  <si>
    <t>=XLOOKUP("Peach", A2:A6, B2:B6, "Not Available")</t>
  </si>
  <si>
    <t>Return a Custom Message If Not Found</t>
  </si>
  <si>
    <t>=XLOOKUP(75, B2:B6, C2:C6, "No Grade", -1)</t>
  </si>
  <si>
    <t>75 is not in column A, so it picks the next smaller value (70) and returns "C".</t>
  </si>
  <si>
    <t>A+</t>
  </si>
  <si>
    <t>=XLOOKUP("Apple", A2:A7, B2:B7, "Not Found", 0, -1)</t>
  </si>
  <si>
    <t>Search from Last to First</t>
  </si>
  <si>
    <t>Find the Position of a Fruit</t>
  </si>
  <si>
    <t>=XMATCH("Mango", A2:A7)</t>
  </si>
  <si>
    <t>Approximate Match (Find the Next Smaller Value)</t>
  </si>
  <si>
    <t>=XMATCH(58, B2:B7, -1)</t>
  </si>
  <si>
    <t>=XMATCH("Apple", A2:A7, 0, -1)</t>
  </si>
  <si>
    <t>Find an Item in Descending Order</t>
  </si>
  <si>
    <t>=XMATCH(60, B2:B7, 0, -2)</t>
  </si>
  <si>
    <t>1️⃣ Text Functions (For handling text data)</t>
  </si>
  <si>
    <t>2️⃣ Lookup &amp; Reference Functions (Finding values in a dataset)</t>
  </si>
  <si>
    <r>
      <rPr>
        <b/>
        <sz val="11"/>
        <color rgb="FFC00000"/>
        <rFont val="Calibri"/>
        <family val="2"/>
        <scheme val="minor"/>
      </rPr>
      <t>XLOOKUP –</t>
    </r>
    <r>
      <rPr>
        <sz val="11"/>
        <color theme="1"/>
        <rFont val="Calibri"/>
        <family val="2"/>
        <scheme val="minor"/>
      </rPr>
      <t xml:space="preserve"> It searches for a value in a range and returns a corresponding value from another range.</t>
    </r>
  </si>
  <si>
    <t>3️⃣ Array Manipulation Functions (Working with arrays and dynamic data)</t>
  </si>
  <si>
    <t>4️⃣ Sorting &amp; Filtering Functions (Organizing data dynamically)</t>
  </si>
  <si>
    <t>5️⃣ Statistical &amp; Aggregate Functions (Summarizing and analyzing data)</t>
  </si>
  <si>
    <t>6️⃣ Array Construction &amp; Modification (Generating and modifying arrays)</t>
  </si>
  <si>
    <r>
      <rPr>
        <b/>
        <sz val="11"/>
        <color rgb="FFC00000"/>
        <rFont val="Calibri"/>
        <family val="2"/>
        <scheme val="minor"/>
      </rPr>
      <t>RANDARRAY –</t>
    </r>
    <r>
      <rPr>
        <sz val="11"/>
        <color theme="1"/>
        <rFont val="Calibri"/>
        <family val="2"/>
        <scheme val="minor"/>
      </rPr>
      <t xml:space="preserve"> It generates an array of random numbers with customizable rows, columns, minimum and maximum values, and integer or decimal.</t>
    </r>
  </si>
  <si>
    <t>7️⃣ Advanced Functions (Iterative calculations &amp; logic)</t>
  </si>
  <si>
    <t>8️⃣ Custom Function Creation (Building user-defined formulas)</t>
  </si>
  <si>
    <t>I N D E X</t>
  </si>
  <si>
    <t>&gt;=90</t>
  </si>
  <si>
    <t>&gt;=80 and &lt;90</t>
  </si>
  <si>
    <t>&gt;=70 and &lt;80</t>
  </si>
  <si>
    <t>&gt;=60 and &lt;70</t>
  </si>
  <si>
    <t>Otherwise</t>
  </si>
  <si>
    <t>E</t>
  </si>
  <si>
    <t>Unknown</t>
  </si>
  <si>
    <t>Human Resource</t>
  </si>
  <si>
    <t>Information Technology</t>
  </si>
  <si>
    <t>Marketing</t>
  </si>
  <si>
    <t>Not Rated</t>
  </si>
  <si>
    <t>Poor</t>
  </si>
  <si>
    <t>Below Average</t>
  </si>
  <si>
    <t>Average</t>
  </si>
  <si>
    <t>Good</t>
  </si>
  <si>
    <t>Excellent</t>
  </si>
  <si>
    <t>* denotes AND logic</t>
  </si>
  <si>
    <t>+ denotes OR logic</t>
  </si>
  <si>
    <t>=AVERAGE(A2:A6)</t>
  </si>
  <si>
    <t>=SCAN(0, B2:B5, LAMBDA(acc,val, acc + val))</t>
  </si>
  <si>
    <t>=SCAN(1, B2:B5, LAMBDA(acc,val, acc * val))</t>
  </si>
  <si>
    <t>=CHOOSE({1,2,3},A1:A7,D1:D7,C1:C7)</t>
  </si>
  <si>
    <r>
      <rPr>
        <b/>
        <sz val="11"/>
        <color rgb="FFC00000"/>
        <rFont val="Calibri"/>
        <family val="2"/>
        <scheme val="minor"/>
      </rPr>
      <t>CHOOSE</t>
    </r>
    <r>
      <rPr>
        <sz val="11"/>
        <color rgb="FFC00000"/>
        <rFont val="Calibri"/>
        <family val="2"/>
        <scheme val="minor"/>
      </rPr>
      <t xml:space="preserve"> –</t>
    </r>
    <r>
      <rPr>
        <sz val="11"/>
        <color theme="1"/>
        <rFont val="Calibri"/>
        <family val="2"/>
        <scheme val="minor"/>
      </rPr>
      <t xml:space="preserve"> The CHOOSE function in Excel returns a value from a list based on a given index number.</t>
    </r>
  </si>
  <si>
    <t>=CONCATENATE("The price of ", A27, " is ", B27)</t>
  </si>
  <si>
    <t>Score Range</t>
  </si>
  <si>
    <t>Trim Reference</t>
  </si>
  <si>
    <t>Last 12 Months</t>
  </si>
  <si>
    <t>Quantity</t>
  </si>
  <si>
    <t>Lemon</t>
  </si>
  <si>
    <t>=A:A</t>
  </si>
  <si>
    <t>=A:.A</t>
  </si>
  <si>
    <t>=A.:.A</t>
  </si>
  <si>
    <t>=SEQUENCE(COUNTA(I1#)-1)</t>
  </si>
  <si>
    <t>=TRIMRANGE(A:A)</t>
  </si>
  <si>
    <t>=TRIMRANGE(A:A,0)</t>
  </si>
  <si>
    <t>=TRIMRANGE(A:A,1)</t>
  </si>
  <si>
    <t>=TRIMRANGE(A:A,2)</t>
  </si>
  <si>
    <t>=TRIMRANGE(A:A,3)</t>
  </si>
  <si>
    <t>=TAKE(P4:.Q27,-12)</t>
  </si>
  <si>
    <r>
      <rPr>
        <b/>
        <sz val="11"/>
        <color rgb="FFC00000"/>
        <rFont val="Calibri"/>
        <family val="2"/>
        <scheme val="minor"/>
      </rPr>
      <t>TRIMRANGE –</t>
    </r>
    <r>
      <rPr>
        <sz val="11"/>
        <color theme="1"/>
        <rFont val="Calibri"/>
        <family val="2"/>
        <scheme val="minor"/>
      </rPr>
      <t xml:space="preserve"> The TRIMRANGE function in Excel (O365) removes leading, trailing, and excess spaces from text within a given cell range.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</si>
</sst>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mmm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0"/>
      <color rgb="FFC00000"/>
      <name val="Calibri"/>
      <family val="2"/>
      <scheme val="minor"/>
    </font>
    <font>
      <sz val="10"/>
      <color rgb="FFC00000"/>
      <name val="Arial Unicode MS"/>
    </font>
    <font>
      <b/>
      <sz val="11"/>
      <color rgb="FF7030A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8"/>
      <color rgb="FF7030A0"/>
      <name val="ADLaM Display"/>
    </font>
    <font>
      <b/>
      <sz val="11"/>
      <color rgb="FFC00000"/>
      <name val="ADLaM Display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BEF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9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3" fillId="4" borderId="0" xfId="0" quotePrefix="1" applyFont="1" applyFill="1"/>
    <xf numFmtId="0" fontId="3" fillId="5" borderId="0" xfId="0" quotePrefix="1" applyFont="1" applyFill="1"/>
    <xf numFmtId="0" fontId="0" fillId="0" borderId="1" xfId="0" applyBorder="1" applyAlignment="1">
      <alignment vertical="center"/>
    </xf>
    <xf numFmtId="0" fontId="0" fillId="0" borderId="1" xfId="0" applyBorder="1"/>
    <xf numFmtId="0" fontId="0" fillId="4" borderId="1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quotePrefix="1" applyFont="1"/>
    <xf numFmtId="0" fontId="1" fillId="0" borderId="0" xfId="0" applyFont="1"/>
    <xf numFmtId="0" fontId="0" fillId="6" borderId="0" xfId="0" applyFill="1"/>
    <xf numFmtId="0" fontId="3" fillId="6" borderId="0" xfId="0" quotePrefix="1" applyFont="1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3" fillId="7" borderId="0" xfId="0" quotePrefix="1" applyFont="1" applyFill="1"/>
    <xf numFmtId="0" fontId="0" fillId="7" borderId="0" xfId="0" applyFill="1"/>
    <xf numFmtId="0" fontId="3" fillId="8" borderId="0" xfId="0" quotePrefix="1" applyFont="1" applyFill="1"/>
    <xf numFmtId="0" fontId="0" fillId="8" borderId="0" xfId="0" applyFill="1"/>
    <xf numFmtId="0" fontId="0" fillId="9" borderId="0" xfId="0" applyFill="1"/>
    <xf numFmtId="0" fontId="3" fillId="10" borderId="0" xfId="0" quotePrefix="1" applyFont="1" applyFill="1"/>
    <xf numFmtId="0" fontId="0" fillId="10" borderId="0" xfId="0" applyFill="1"/>
    <xf numFmtId="0" fontId="3" fillId="11" borderId="0" xfId="0" quotePrefix="1" applyFont="1" applyFill="1"/>
    <xf numFmtId="0" fontId="0" fillId="11" borderId="0" xfId="0" applyFill="1"/>
    <xf numFmtId="0" fontId="1" fillId="0" borderId="0" xfId="0" applyFont="1" applyAlignment="1">
      <alignment horizontal="center"/>
    </xf>
    <xf numFmtId="14" fontId="0" fillId="0" borderId="0" xfId="0" applyNumberFormat="1"/>
    <xf numFmtId="14" fontId="0" fillId="10" borderId="0" xfId="0" applyNumberFormat="1" applyFill="1"/>
    <xf numFmtId="0" fontId="1" fillId="0" borderId="3" xfId="0" applyFont="1" applyBorder="1"/>
    <xf numFmtId="14" fontId="0" fillId="0" borderId="4" xfId="0" applyNumberFormat="1" applyBorder="1"/>
    <xf numFmtId="0" fontId="0" fillId="0" borderId="4" xfId="0" applyBorder="1"/>
    <xf numFmtId="3" fontId="0" fillId="0" borderId="4" xfId="0" applyNumberFormat="1" applyBorder="1"/>
    <xf numFmtId="0" fontId="1" fillId="0" borderId="5" xfId="0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3" fontId="0" fillId="0" borderId="0" xfId="0" applyNumberFormat="1"/>
    <xf numFmtId="14" fontId="0" fillId="0" borderId="6" xfId="0" applyNumberFormat="1" applyBorder="1"/>
    <xf numFmtId="0" fontId="0" fillId="0" borderId="6" xfId="0" applyBorder="1"/>
    <xf numFmtId="3" fontId="0" fillId="0" borderId="6" xfId="0" applyNumberFormat="1" applyBorder="1"/>
    <xf numFmtId="14" fontId="1" fillId="0" borderId="6" xfId="0" applyNumberFormat="1" applyFont="1" applyBorder="1"/>
    <xf numFmtId="0" fontId="1" fillId="0" borderId="6" xfId="0" applyFont="1" applyBorder="1"/>
    <xf numFmtId="3" fontId="1" fillId="0" borderId="6" xfId="0" applyNumberFormat="1" applyFont="1" applyBorder="1"/>
    <xf numFmtId="14" fontId="1" fillId="0" borderId="7" xfId="0" applyNumberFormat="1" applyFont="1" applyBorder="1"/>
    <xf numFmtId="0" fontId="1" fillId="0" borderId="7" xfId="0" applyFont="1" applyBorder="1"/>
    <xf numFmtId="3" fontId="1" fillId="0" borderId="7" xfId="0" applyNumberFormat="1" applyFont="1" applyBorder="1"/>
    <xf numFmtId="14" fontId="0" fillId="0" borderId="8" xfId="0" applyNumberFormat="1" applyBorder="1"/>
    <xf numFmtId="0" fontId="0" fillId="0" borderId="8" xfId="0" applyBorder="1"/>
    <xf numFmtId="3" fontId="0" fillId="0" borderId="8" xfId="0" applyNumberFormat="1" applyBorder="1"/>
    <xf numFmtId="0" fontId="1" fillId="0" borderId="3" xfId="0" applyFont="1" applyBorder="1" applyAlignment="1">
      <alignment horizontal="right" indent="1"/>
    </xf>
    <xf numFmtId="3" fontId="1" fillId="0" borderId="0" xfId="0" applyNumberFormat="1" applyFont="1"/>
    <xf numFmtId="14" fontId="0" fillId="0" borderId="9" xfId="0" applyNumberFormat="1" applyBorder="1"/>
    <xf numFmtId="0" fontId="0" fillId="0" borderId="9" xfId="0" applyBorder="1"/>
    <xf numFmtId="3" fontId="0" fillId="0" borderId="9" xfId="0" applyNumberFormat="1" applyBorder="1"/>
    <xf numFmtId="0" fontId="3" fillId="9" borderId="0" xfId="0" quotePrefix="1" applyFont="1" applyFill="1"/>
    <xf numFmtId="0" fontId="0" fillId="0" borderId="1" xfId="0" applyBorder="1" applyAlignment="1">
      <alignment horizontal="center"/>
    </xf>
    <xf numFmtId="0" fontId="3" fillId="13" borderId="0" xfId="0" quotePrefix="1" applyFont="1" applyFill="1"/>
    <xf numFmtId="0" fontId="0" fillId="13" borderId="0" xfId="0" applyFill="1"/>
    <xf numFmtId="3" fontId="3" fillId="8" borderId="0" xfId="0" quotePrefix="1" applyNumberFormat="1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3" fillId="12" borderId="0" xfId="0" quotePrefix="1" applyFont="1" applyFill="1"/>
    <xf numFmtId="0" fontId="0" fillId="1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3" fillId="14" borderId="0" xfId="0" quotePrefix="1" applyFont="1" applyFill="1"/>
    <xf numFmtId="0" fontId="0" fillId="14" borderId="0" xfId="0" applyFill="1"/>
    <xf numFmtId="0" fontId="1" fillId="0" borderId="0" xfId="0" quotePrefix="1" applyFont="1"/>
    <xf numFmtId="0" fontId="0" fillId="1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1" fillId="3" borderId="0" xfId="0" applyFont="1" applyFill="1" applyAlignment="1">
      <alignment horizontal="center" vertical="center" wrapText="1"/>
    </xf>
    <xf numFmtId="0" fontId="0" fillId="0" borderId="10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164" fontId="0" fillId="7" borderId="0" xfId="1" applyNumberFormat="1" applyFont="1" applyFill="1"/>
    <xf numFmtId="9" fontId="0" fillId="0" borderId="1" xfId="0" applyNumberFormat="1" applyBorder="1"/>
    <xf numFmtId="0" fontId="0" fillId="4" borderId="0" xfId="0" applyFill="1" applyAlignment="1">
      <alignment vertical="center"/>
    </xf>
    <xf numFmtId="0" fontId="3" fillId="4" borderId="0" xfId="0" quotePrefix="1" applyFont="1" applyFill="1" applyAlignment="1">
      <alignment vertical="center"/>
    </xf>
    <xf numFmtId="0" fontId="0" fillId="7" borderId="0" xfId="0" applyFill="1" applyAlignment="1">
      <alignment vertical="center"/>
    </xf>
    <xf numFmtId="0" fontId="3" fillId="7" borderId="0" xfId="0" quotePrefix="1" applyFont="1" applyFill="1" applyAlignment="1">
      <alignment vertical="center"/>
    </xf>
    <xf numFmtId="0" fontId="0" fillId="8" borderId="0" xfId="0" applyFill="1" applyAlignment="1">
      <alignment vertical="center"/>
    </xf>
    <xf numFmtId="0" fontId="3" fillId="8" borderId="0" xfId="0" quotePrefix="1" applyFont="1" applyFill="1" applyAlignment="1">
      <alignment vertical="center"/>
    </xf>
    <xf numFmtId="0" fontId="0" fillId="11" borderId="0" xfId="0" applyFill="1" applyAlignment="1">
      <alignment vertical="center"/>
    </xf>
    <xf numFmtId="0" fontId="3" fillId="11" borderId="0" xfId="0" quotePrefix="1" applyFont="1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2" fontId="0" fillId="7" borderId="1" xfId="0" applyNumberFormat="1" applyFill="1" applyBorder="1" applyAlignment="1">
      <alignment vertical="center" wrapText="1"/>
    </xf>
    <xf numFmtId="2" fontId="0" fillId="0" borderId="1" xfId="0" applyNumberFormat="1" applyBorder="1"/>
    <xf numFmtId="2" fontId="0" fillId="8" borderId="1" xfId="0" applyNumberFormat="1" applyFill="1" applyBorder="1"/>
    <xf numFmtId="0" fontId="1" fillId="0" borderId="0" xfId="0" applyFont="1" applyAlignment="1">
      <alignment vertical="top" wrapText="1"/>
    </xf>
    <xf numFmtId="0" fontId="1" fillId="0" borderId="15" xfId="0" applyFont="1" applyBorder="1"/>
    <xf numFmtId="0" fontId="3" fillId="0" borderId="16" xfId="0" applyFont="1" applyBorder="1"/>
    <xf numFmtId="0" fontId="1" fillId="0" borderId="16" xfId="0" applyFont="1" applyBorder="1"/>
    <xf numFmtId="0" fontId="1" fillId="0" borderId="17" xfId="0" applyFont="1" applyBorder="1"/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15" xfId="0" applyFont="1" applyBorder="1" applyAlignment="1">
      <alignment wrapText="1"/>
    </xf>
    <xf numFmtId="0" fontId="0" fillId="0" borderId="17" xfId="0" applyBorder="1"/>
    <xf numFmtId="0" fontId="0" fillId="0" borderId="16" xfId="0" applyBorder="1"/>
    <xf numFmtId="0" fontId="1" fillId="4" borderId="2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vertical="top" wrapText="1"/>
    </xf>
    <xf numFmtId="0" fontId="0" fillId="0" borderId="22" xfId="0" applyBorder="1"/>
    <xf numFmtId="0" fontId="1" fillId="4" borderId="12" xfId="0" applyFont="1" applyFill="1" applyBorder="1" applyAlignment="1">
      <alignment horizontal="center" vertical="center"/>
    </xf>
    <xf numFmtId="0" fontId="0" fillId="5" borderId="1" xfId="0" applyFill="1" applyBorder="1"/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16" borderId="0" xfId="0" applyFont="1" applyFill="1"/>
    <xf numFmtId="0" fontId="3" fillId="17" borderId="0" xfId="0" quotePrefix="1" applyFont="1" applyFill="1"/>
    <xf numFmtId="0" fontId="0" fillId="18" borderId="0" xfId="0" quotePrefix="1" applyFill="1" applyAlignment="1">
      <alignment vertical="center"/>
    </xf>
    <xf numFmtId="0" fontId="0" fillId="18" borderId="0" xfId="0" applyFill="1" applyAlignment="1">
      <alignment vertical="center"/>
    </xf>
    <xf numFmtId="0" fontId="0" fillId="17" borderId="0" xfId="0" applyFill="1"/>
    <xf numFmtId="0" fontId="0" fillId="19" borderId="0" xfId="0" applyFill="1"/>
    <xf numFmtId="0" fontId="0" fillId="20" borderId="0" xfId="0" applyFill="1"/>
    <xf numFmtId="0" fontId="0" fillId="18" borderId="0" xfId="0" applyFill="1"/>
    <xf numFmtId="0" fontId="0" fillId="21" borderId="0" xfId="0" applyFill="1"/>
    <xf numFmtId="165" fontId="0" fillId="0" borderId="0" xfId="0" applyNumberFormat="1"/>
    <xf numFmtId="165" fontId="0" fillId="8" borderId="0" xfId="0" applyNumberFormat="1" applyFill="1"/>
    <xf numFmtId="0" fontId="14" fillId="16" borderId="13" xfId="0" applyFont="1" applyFill="1" applyBorder="1" applyAlignment="1">
      <alignment horizontal="center" vertical="center"/>
    </xf>
    <xf numFmtId="0" fontId="14" fillId="16" borderId="14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4" fillId="16" borderId="25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11" borderId="1" xfId="0" applyFill="1" applyBorder="1"/>
    <xf numFmtId="0" fontId="3" fillId="9" borderId="0" xfId="0" quotePrefix="1" applyFont="1" applyFill="1"/>
    <xf numFmtId="0" fontId="3" fillId="7" borderId="0" xfId="0" quotePrefix="1" applyFont="1" applyFill="1"/>
    <xf numFmtId="0" fontId="3" fillId="8" borderId="0" xfId="0" quotePrefix="1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6" fillId="2" borderId="13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quotePrefix="1" applyFont="1" applyFill="1"/>
    <xf numFmtId="0" fontId="3" fillId="17" borderId="0" xfId="0" quotePrefix="1" applyFont="1" applyFill="1"/>
    <xf numFmtId="0" fontId="3" fillId="21" borderId="0" xfId="0" quotePrefix="1" applyFont="1" applyFill="1"/>
    <xf numFmtId="0" fontId="3" fillId="19" borderId="0" xfId="0" quotePrefix="1" applyFont="1" applyFill="1"/>
    <xf numFmtId="0" fontId="3" fillId="14" borderId="0" xfId="0" quotePrefix="1" applyFont="1" applyFill="1"/>
    <xf numFmtId="0" fontId="3" fillId="11" borderId="0" xfId="0" quotePrefix="1" applyFont="1" applyFill="1"/>
    <xf numFmtId="0" fontId="3" fillId="20" borderId="0" xfId="0" quotePrefix="1" applyFont="1" applyFill="1"/>
    <xf numFmtId="0" fontId="3" fillId="18" borderId="0" xfId="0" quotePrefix="1" applyFont="1" applyFill="1"/>
    <xf numFmtId="0" fontId="4" fillId="8" borderId="0" xfId="0" applyFont="1" applyFill="1"/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9" borderId="0" xfId="0" quotePrefix="1" applyFont="1" applyFill="1" applyAlignment="1">
      <alignment vertical="center" wrapText="1"/>
    </xf>
    <xf numFmtId="0" fontId="0" fillId="0" borderId="1" xfId="0" applyBorder="1" applyAlignment="1">
      <alignment horizontal="center"/>
    </xf>
    <xf numFmtId="2" fontId="1" fillId="4" borderId="20" xfId="0" applyNumberFormat="1" applyFont="1" applyFill="1" applyBorder="1" applyAlignment="1">
      <alignment horizontal="center" vertical="center"/>
    </xf>
    <xf numFmtId="2" fontId="1" fillId="4" borderId="19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border>
        <top style="thin">
          <color theme="2"/>
        </top>
        <bottom style="thin">
          <color theme="2"/>
        </bottom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bottom style="thin">
          <color theme="1" tint="0.34998626667073579"/>
        </bottom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bottom style="thin">
          <color theme="1" tint="0.34998626667073579"/>
        </bottom>
        <vertical/>
        <horizontal/>
      </border>
    </dxf>
    <dxf>
      <border>
        <top style="thin">
          <color theme="2"/>
        </top>
        <bottom style="thin">
          <color theme="2"/>
        </bottom>
        <vertical/>
        <horizontal/>
      </border>
    </dxf>
    <dxf>
      <font>
        <b/>
        <i val="0"/>
      </font>
      <fill>
        <patternFill>
          <bgColor theme="5" tint="0.79998168889431442"/>
        </patternFill>
      </fill>
      <border>
        <bottom style="thin">
          <color theme="1" tint="0.34998626667073579"/>
        </bottom>
        <vertical/>
        <horizontal/>
      </border>
    </dxf>
    <dxf>
      <font>
        <b/>
        <i val="0"/>
      </font>
      <fill>
        <patternFill>
          <bgColor theme="3" tint="0.89996032593768116"/>
        </patternFill>
      </fill>
      <border>
        <bottom style="thin">
          <color theme="1" tint="0.34998626667073579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numFmt numFmtId="166" formatCode="m/d/yyyy"/>
      <border diagonalUp="0" diagonalDown="0">
        <left/>
        <right/>
        <top style="thin">
          <color theme="2"/>
        </top>
        <bottom style="thin">
          <color theme="2"/>
        </bottom>
        <vertical/>
        <horizontal/>
      </border>
    </dxf>
    <dxf>
      <border outline="0">
        <bottom style="thin">
          <color theme="2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CBEF6"/>
      <color rgb="FFCCFF33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7056</xdr:colOff>
      <xdr:row>14</xdr:row>
      <xdr:rowOff>28222</xdr:rowOff>
    </xdr:from>
    <xdr:to>
      <xdr:col>22</xdr:col>
      <xdr:colOff>14112</xdr:colOff>
      <xdr:row>16</xdr:row>
      <xdr:rowOff>163009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46E8D-B67B-2BD6-7E28-D4BAD3ED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2445" y="2603500"/>
          <a:ext cx="7154334" cy="5016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66463-DA84-4D16-9191-C6EEDAF46BE8}" name="TSales" displayName="TSales" ref="A1:E301" totalsRowShown="0" headerRowDxfId="18" headerRowBorderDxfId="17" tableBorderDxfId="16">
  <tableColumns count="5">
    <tableColumn id="1" xr3:uid="{A33D255E-1B5C-4591-BFDB-4A8E4F784A97}" name="Date" dataDxfId="15"/>
    <tableColumn id="2" xr3:uid="{1BABE37D-B2E8-4712-B80E-FB7F001FD4DC}" name="Division" dataDxfId="14"/>
    <tableColumn id="3" xr3:uid="{D048E8E4-4670-4147-AB77-913DEA894C5E}" name="Sales Manager" dataDxfId="13"/>
    <tableColumn id="4" xr3:uid="{DF5D5D4C-54D8-4888-907F-2FC632FFCB03}" name="Product" dataDxfId="12"/>
    <tableColumn id="5" xr3:uid="{1F205FE7-9844-4375-809B-911CBD1BB361}" name="Sales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E749-49EA-40BB-8B28-1A6CE388DB94}">
  <sheetPr>
    <tabColor rgb="FFFFFF00"/>
  </sheetPr>
  <dimension ref="A1:B51"/>
  <sheetViews>
    <sheetView tabSelected="1" topLeftCell="A14" zoomScale="99" zoomScaleNormal="99" workbookViewId="0">
      <selection sqref="A1:B1"/>
    </sheetView>
  </sheetViews>
  <sheetFormatPr defaultRowHeight="14.4"/>
  <cols>
    <col min="2" max="2" width="123.6640625" customWidth="1"/>
  </cols>
  <sheetData>
    <row r="1" spans="1:2" ht="25.2" thickBot="1">
      <c r="A1" s="131" t="s">
        <v>442</v>
      </c>
      <c r="B1" s="132"/>
    </row>
    <row r="2" spans="1:2" ht="21.6" thickBot="1">
      <c r="A2" s="129" t="s">
        <v>432</v>
      </c>
      <c r="B2" s="130"/>
    </row>
    <row r="3" spans="1:2">
      <c r="A3" s="104">
        <v>1.1000000000000001</v>
      </c>
      <c r="B3" s="100" t="s">
        <v>233</v>
      </c>
    </row>
    <row r="4" spans="1:2">
      <c r="A4" s="105">
        <v>1.2</v>
      </c>
      <c r="B4" s="101" t="s">
        <v>117</v>
      </c>
    </row>
    <row r="5" spans="1:2">
      <c r="A5" s="105">
        <v>1.3</v>
      </c>
      <c r="B5" s="102" t="s">
        <v>290</v>
      </c>
    </row>
    <row r="6" spans="1:2">
      <c r="A6" s="105">
        <v>1.4</v>
      </c>
      <c r="B6" s="102" t="s">
        <v>234</v>
      </c>
    </row>
    <row r="7" spans="1:2">
      <c r="A7" s="105">
        <v>1.5</v>
      </c>
      <c r="B7" s="102" t="s">
        <v>235</v>
      </c>
    </row>
    <row r="8" spans="1:2" ht="15" thickBot="1">
      <c r="A8" s="106">
        <v>1.6</v>
      </c>
      <c r="B8" s="103" t="s">
        <v>312</v>
      </c>
    </row>
    <row r="9" spans="1:2" ht="21.6" thickBot="1">
      <c r="A9" s="133" t="s">
        <v>433</v>
      </c>
      <c r="B9" s="130"/>
    </row>
    <row r="10" spans="1:2">
      <c r="A10" s="104">
        <v>2.7</v>
      </c>
      <c r="B10" s="107" t="s">
        <v>434</v>
      </c>
    </row>
    <row r="11" spans="1:2">
      <c r="A11" s="105">
        <v>2.8</v>
      </c>
      <c r="B11" s="102" t="s">
        <v>291</v>
      </c>
    </row>
    <row r="12" spans="1:2">
      <c r="A12" s="105">
        <v>2.9</v>
      </c>
      <c r="B12" s="108" t="s">
        <v>405</v>
      </c>
    </row>
    <row r="13" spans="1:2" ht="15" thickBot="1">
      <c r="A13" s="163">
        <v>2.1</v>
      </c>
      <c r="B13" s="108" t="s">
        <v>482</v>
      </c>
    </row>
    <row r="14" spans="1:2" ht="21.6" thickBot="1">
      <c r="A14" s="134" t="s">
        <v>435</v>
      </c>
      <c r="B14" s="130"/>
    </row>
    <row r="15" spans="1:2">
      <c r="A15" s="104">
        <v>3.11</v>
      </c>
      <c r="B15" s="100" t="s">
        <v>236</v>
      </c>
    </row>
    <row r="16" spans="1:2">
      <c r="A16" s="105">
        <v>3.12</v>
      </c>
      <c r="B16" s="102" t="s">
        <v>237</v>
      </c>
    </row>
    <row r="17" spans="1:2">
      <c r="A17" s="105">
        <v>3.13</v>
      </c>
      <c r="B17" s="102" t="s">
        <v>238</v>
      </c>
    </row>
    <row r="18" spans="1:2">
      <c r="A18" s="105">
        <v>3.14</v>
      </c>
      <c r="B18" s="102" t="s">
        <v>239</v>
      </c>
    </row>
    <row r="19" spans="1:2">
      <c r="A19" s="105">
        <v>3.15</v>
      </c>
      <c r="B19" s="102" t="s">
        <v>260</v>
      </c>
    </row>
    <row r="20" spans="1:2">
      <c r="A20" s="105">
        <v>3.16</v>
      </c>
      <c r="B20" s="102" t="s">
        <v>259</v>
      </c>
    </row>
    <row r="21" spans="1:2">
      <c r="A21" s="105">
        <v>3.17</v>
      </c>
      <c r="B21" s="102" t="s">
        <v>240</v>
      </c>
    </row>
    <row r="22" spans="1:2">
      <c r="A22" s="105">
        <v>3.18</v>
      </c>
      <c r="B22" s="102" t="s">
        <v>241</v>
      </c>
    </row>
    <row r="23" spans="1:2">
      <c r="A23" s="105">
        <v>3.19</v>
      </c>
      <c r="B23" s="102" t="s">
        <v>242</v>
      </c>
    </row>
    <row r="24" spans="1:2">
      <c r="A24" s="164">
        <v>3.2</v>
      </c>
      <c r="B24" s="102" t="s">
        <v>243</v>
      </c>
    </row>
    <row r="25" spans="1:2" ht="15" thickBot="1">
      <c r="A25" s="106">
        <v>3.21</v>
      </c>
      <c r="B25" s="103" t="s">
        <v>318</v>
      </c>
    </row>
    <row r="26" spans="1:2" ht="21.6" thickBot="1">
      <c r="A26" s="129" t="s">
        <v>436</v>
      </c>
      <c r="B26" s="130"/>
    </row>
    <row r="27" spans="1:2">
      <c r="A27" s="104">
        <v>4.22</v>
      </c>
      <c r="B27" s="100" t="s">
        <v>297</v>
      </c>
    </row>
    <row r="28" spans="1:2">
      <c r="A28" s="105">
        <v>4.2300000000000004</v>
      </c>
      <c r="B28" s="102" t="s">
        <v>298</v>
      </c>
    </row>
    <row r="29" spans="1:2">
      <c r="A29" s="105">
        <v>4.24</v>
      </c>
      <c r="B29" s="109" t="s">
        <v>299</v>
      </c>
    </row>
    <row r="30" spans="1:2" ht="15" thickBot="1">
      <c r="A30" s="110">
        <v>4.25</v>
      </c>
      <c r="B30" s="108" t="s">
        <v>300</v>
      </c>
    </row>
    <row r="31" spans="1:2" ht="21.6" thickBot="1">
      <c r="A31" s="129" t="s">
        <v>437</v>
      </c>
      <c r="B31" s="130"/>
    </row>
    <row r="32" spans="1:2">
      <c r="A32" s="104">
        <v>5.26</v>
      </c>
      <c r="B32" s="100" t="s">
        <v>358</v>
      </c>
    </row>
    <row r="33" spans="1:2" ht="15" thickBot="1">
      <c r="A33" s="106">
        <v>5.27</v>
      </c>
      <c r="B33" s="103" t="s">
        <v>404</v>
      </c>
    </row>
    <row r="34" spans="1:2" ht="21.6" thickBot="1">
      <c r="A34" s="129" t="s">
        <v>438</v>
      </c>
      <c r="B34" s="130" t="s">
        <v>438</v>
      </c>
    </row>
    <row r="35" spans="1:2">
      <c r="A35" s="104">
        <v>6.28</v>
      </c>
      <c r="B35" s="111" t="s">
        <v>296</v>
      </c>
    </row>
    <row r="36" spans="1:2">
      <c r="A36" s="105">
        <v>6.29</v>
      </c>
      <c r="B36" s="112" t="s">
        <v>439</v>
      </c>
    </row>
    <row r="37" spans="1:2">
      <c r="A37" s="164">
        <v>6.3</v>
      </c>
      <c r="B37" s="102" t="s">
        <v>276</v>
      </c>
    </row>
    <row r="38" spans="1:2">
      <c r="A38" s="105">
        <v>6.31</v>
      </c>
      <c r="B38" s="109" t="s">
        <v>295</v>
      </c>
    </row>
    <row r="39" spans="1:2">
      <c r="A39" s="105">
        <v>6.32</v>
      </c>
      <c r="B39" s="109" t="s">
        <v>294</v>
      </c>
    </row>
    <row r="40" spans="1:2" ht="15" thickBot="1">
      <c r="A40" s="106">
        <v>6.33</v>
      </c>
      <c r="B40" s="108" t="s">
        <v>293</v>
      </c>
    </row>
    <row r="41" spans="1:2" ht="21.6" thickBot="1">
      <c r="A41" s="129" t="s">
        <v>440</v>
      </c>
      <c r="B41" s="130" t="s">
        <v>331</v>
      </c>
    </row>
    <row r="42" spans="1:2">
      <c r="A42" s="104">
        <v>7.34</v>
      </c>
      <c r="B42" s="100" t="s">
        <v>331</v>
      </c>
    </row>
    <row r="43" spans="1:2">
      <c r="A43" s="105">
        <v>7.35</v>
      </c>
      <c r="B43" s="102" t="s">
        <v>324</v>
      </c>
    </row>
    <row r="44" spans="1:2">
      <c r="A44" s="105">
        <v>7.36</v>
      </c>
      <c r="B44" s="102" t="s">
        <v>346</v>
      </c>
    </row>
    <row r="45" spans="1:2">
      <c r="A45" s="105">
        <v>7.37</v>
      </c>
      <c r="B45" s="102" t="s">
        <v>357</v>
      </c>
    </row>
    <row r="46" spans="1:2">
      <c r="A46" s="105">
        <v>7.38</v>
      </c>
      <c r="B46" s="102" t="s">
        <v>244</v>
      </c>
    </row>
    <row r="47" spans="1:2">
      <c r="A47" s="105">
        <v>7.39</v>
      </c>
      <c r="B47" s="102" t="s">
        <v>465</v>
      </c>
    </row>
    <row r="48" spans="1:2">
      <c r="A48" s="164">
        <v>7.4</v>
      </c>
      <c r="B48" s="102" t="s">
        <v>245</v>
      </c>
    </row>
    <row r="49" spans="1:2" ht="15" thickBot="1">
      <c r="A49" s="105">
        <v>7.41</v>
      </c>
      <c r="B49" s="103" t="s">
        <v>246</v>
      </c>
    </row>
    <row r="50" spans="1:2" ht="21.6" thickBot="1">
      <c r="A50" s="129" t="s">
        <v>441</v>
      </c>
      <c r="B50" s="130" t="s">
        <v>292</v>
      </c>
    </row>
    <row r="51" spans="1:2" ht="15" thickBot="1">
      <c r="A51" s="114">
        <v>8.42</v>
      </c>
      <c r="B51" s="113" t="s">
        <v>292</v>
      </c>
    </row>
  </sheetData>
  <mergeCells count="9">
    <mergeCell ref="A34:B34"/>
    <mergeCell ref="A41:B41"/>
    <mergeCell ref="A50:B50"/>
    <mergeCell ref="A1:B1"/>
    <mergeCell ref="A2:B2"/>
    <mergeCell ref="A9:B9"/>
    <mergeCell ref="A14:B14"/>
    <mergeCell ref="A26:B26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F836-8795-42C5-88D8-4F38620610FF}">
  <sheetPr codeName="Sheet2">
    <tabColor theme="5" tint="0.79998168889431442"/>
  </sheetPr>
  <dimension ref="A1:H31"/>
  <sheetViews>
    <sheetView workbookViewId="0"/>
  </sheetViews>
  <sheetFormatPr defaultRowHeight="14.4"/>
  <cols>
    <col min="1" max="1" width="17.5546875" bestFit="1" customWidth="1"/>
    <col min="2" max="2" width="10.5546875" bestFit="1" customWidth="1"/>
    <col min="3" max="3" width="13.21875" bestFit="1" customWidth="1"/>
    <col min="4" max="4" width="11" customWidth="1"/>
    <col min="5" max="5" width="20.5546875" customWidth="1"/>
    <col min="8" max="8" width="42.21875" bestFit="1" customWidth="1"/>
  </cols>
  <sheetData>
    <row r="1" spans="1:8">
      <c r="A1" s="3" t="s">
        <v>3</v>
      </c>
      <c r="B1" s="3" t="s">
        <v>11</v>
      </c>
      <c r="C1" s="3" t="s">
        <v>12</v>
      </c>
      <c r="D1" s="3" t="s">
        <v>13</v>
      </c>
    </row>
    <row r="2" spans="1:8">
      <c r="A2" s="9" t="s">
        <v>10</v>
      </c>
      <c r="B2" s="10"/>
      <c r="C2" s="9"/>
      <c r="D2" s="9"/>
      <c r="H2" s="6" t="s">
        <v>39</v>
      </c>
    </row>
    <row r="3" spans="1:8">
      <c r="A3" s="9" t="s">
        <v>6</v>
      </c>
      <c r="B3" s="73"/>
      <c r="C3" s="9"/>
      <c r="D3" s="9"/>
      <c r="H3" s="14"/>
    </row>
    <row r="4" spans="1:8">
      <c r="A4" s="9" t="s">
        <v>7</v>
      </c>
      <c r="B4" s="73"/>
      <c r="C4" s="9"/>
      <c r="D4" s="9"/>
    </row>
    <row r="5" spans="1:8">
      <c r="A5" s="9" t="s">
        <v>4</v>
      </c>
      <c r="B5" s="73"/>
      <c r="C5" s="9"/>
      <c r="D5" s="9"/>
    </row>
    <row r="6" spans="1:8">
      <c r="A6" s="9" t="s">
        <v>9</v>
      </c>
      <c r="B6" s="73"/>
      <c r="C6" s="9"/>
      <c r="D6" s="9"/>
    </row>
    <row r="7" spans="1:8">
      <c r="A7" s="9" t="s">
        <v>8</v>
      </c>
      <c r="B7" s="73"/>
      <c r="C7" s="9"/>
      <c r="D7" s="9"/>
    </row>
    <row r="8" spans="1:8">
      <c r="A8" s="9" t="s">
        <v>5</v>
      </c>
      <c r="B8" s="73"/>
      <c r="C8" s="9"/>
      <c r="D8" s="9"/>
    </row>
    <row r="10" spans="1:8">
      <c r="A10" s="3" t="s">
        <v>38</v>
      </c>
      <c r="B10" s="3" t="s">
        <v>11</v>
      </c>
      <c r="C10" s="3" t="s">
        <v>12</v>
      </c>
      <c r="D10" s="3" t="s">
        <v>13</v>
      </c>
      <c r="E10" s="3" t="s">
        <v>23</v>
      </c>
    </row>
    <row r="11" spans="1:8">
      <c r="A11" s="9">
        <v>1</v>
      </c>
      <c r="B11" s="9" t="s">
        <v>24</v>
      </c>
      <c r="C11" s="9" t="s">
        <v>25</v>
      </c>
      <c r="D11" s="9" t="s">
        <v>26</v>
      </c>
      <c r="E11" s="74"/>
      <c r="H11" s="20" t="s">
        <v>40</v>
      </c>
    </row>
    <row r="12" spans="1:8">
      <c r="A12" s="9">
        <v>2</v>
      </c>
      <c r="B12" s="9" t="s">
        <v>27</v>
      </c>
      <c r="C12" s="9" t="s">
        <v>28</v>
      </c>
      <c r="D12" s="9" t="s">
        <v>29</v>
      </c>
      <c r="E12" s="73"/>
    </row>
    <row r="13" spans="1:8">
      <c r="A13" s="9">
        <v>3</v>
      </c>
      <c r="B13" s="9" t="s">
        <v>30</v>
      </c>
      <c r="C13" s="9"/>
      <c r="D13" s="9" t="s">
        <v>31</v>
      </c>
      <c r="E13" s="73"/>
    </row>
    <row r="14" spans="1:8">
      <c r="A14" s="9">
        <v>4</v>
      </c>
      <c r="B14" s="9" t="s">
        <v>32</v>
      </c>
      <c r="C14" s="9" t="s">
        <v>33</v>
      </c>
      <c r="D14" s="9" t="s">
        <v>28</v>
      </c>
      <c r="E14" s="73"/>
    </row>
    <row r="15" spans="1:8">
      <c r="A15" s="9">
        <v>5</v>
      </c>
      <c r="B15" s="9" t="s">
        <v>34</v>
      </c>
      <c r="C15" s="9"/>
      <c r="D15" s="9" t="s">
        <v>35</v>
      </c>
      <c r="E15" s="73"/>
    </row>
    <row r="16" spans="1:8">
      <c r="A16" s="9">
        <v>6</v>
      </c>
      <c r="B16" s="9" t="s">
        <v>34</v>
      </c>
      <c r="C16" s="9"/>
      <c r="D16" s="9" t="s">
        <v>31</v>
      </c>
      <c r="E16" s="73"/>
    </row>
    <row r="17" spans="1:8">
      <c r="A17" s="9">
        <v>7</v>
      </c>
      <c r="B17" s="9" t="s">
        <v>36</v>
      </c>
      <c r="C17" s="9"/>
      <c r="D17" s="9" t="s">
        <v>37</v>
      </c>
      <c r="E17" s="73"/>
    </row>
    <row r="19" spans="1:8">
      <c r="A19" s="3" t="s">
        <v>11</v>
      </c>
      <c r="B19" s="3" t="s">
        <v>13</v>
      </c>
      <c r="C19" s="3" t="s">
        <v>277</v>
      </c>
      <c r="D19" s="3" t="s">
        <v>278</v>
      </c>
      <c r="E19" s="3" t="s">
        <v>279</v>
      </c>
    </row>
    <row r="20" spans="1:8">
      <c r="A20" s="12" t="s">
        <v>30</v>
      </c>
      <c r="B20" s="12" t="s">
        <v>31</v>
      </c>
      <c r="C20" s="10"/>
      <c r="D20" s="74"/>
      <c r="E20" s="75"/>
      <c r="H20" s="6" t="s">
        <v>280</v>
      </c>
    </row>
    <row r="21" spans="1:8">
      <c r="A21" s="12" t="s">
        <v>32</v>
      </c>
      <c r="B21" s="12" t="s">
        <v>33</v>
      </c>
      <c r="C21" s="9"/>
      <c r="D21" s="9"/>
      <c r="E21" s="9"/>
      <c r="H21" s="20" t="s">
        <v>281</v>
      </c>
    </row>
    <row r="22" spans="1:8">
      <c r="A22" s="12" t="s">
        <v>34</v>
      </c>
      <c r="B22" s="12" t="s">
        <v>35</v>
      </c>
      <c r="C22" s="9"/>
      <c r="D22" s="9"/>
      <c r="E22" s="9"/>
      <c r="H22" s="22" t="s">
        <v>282</v>
      </c>
    </row>
    <row r="23" spans="1:8">
      <c r="A23" s="9" t="s">
        <v>34</v>
      </c>
      <c r="B23" s="9" t="s">
        <v>31</v>
      </c>
      <c r="C23" s="9"/>
      <c r="D23" s="9"/>
      <c r="E23" s="9"/>
    </row>
    <row r="24" spans="1:8">
      <c r="A24" s="9" t="s">
        <v>36</v>
      </c>
      <c r="B24" s="9" t="s">
        <v>37</v>
      </c>
      <c r="C24" s="9"/>
      <c r="D24" s="9"/>
      <c r="E24" s="9"/>
    </row>
    <row r="26" spans="1:8">
      <c r="A26" s="3" t="s">
        <v>96</v>
      </c>
      <c r="B26" s="3" t="s">
        <v>98</v>
      </c>
      <c r="C26" s="136" t="s">
        <v>285</v>
      </c>
      <c r="D26" s="136"/>
      <c r="E26" s="136"/>
    </row>
    <row r="27" spans="1:8">
      <c r="A27" s="12" t="s">
        <v>283</v>
      </c>
      <c r="B27" s="12">
        <v>80000</v>
      </c>
      <c r="C27" s="137"/>
      <c r="D27" s="137"/>
      <c r="E27" s="137"/>
      <c r="H27" s="27" t="s">
        <v>289</v>
      </c>
    </row>
    <row r="28" spans="1:8">
      <c r="A28" s="12" t="s">
        <v>284</v>
      </c>
      <c r="B28" s="12">
        <v>20000</v>
      </c>
      <c r="C28" s="135"/>
      <c r="D28" s="135"/>
      <c r="E28" s="135"/>
      <c r="H28" s="27" t="s">
        <v>466</v>
      </c>
    </row>
    <row r="29" spans="1:8">
      <c r="A29" s="9" t="s">
        <v>287</v>
      </c>
      <c r="B29" s="9">
        <v>500</v>
      </c>
      <c r="C29" s="135"/>
      <c r="D29" s="135"/>
      <c r="E29" s="135"/>
    </row>
    <row r="30" spans="1:8">
      <c r="A30" s="9" t="s">
        <v>288</v>
      </c>
      <c r="B30" s="9">
        <v>650</v>
      </c>
      <c r="C30" s="135"/>
      <c r="D30" s="135"/>
      <c r="E30" s="135"/>
    </row>
    <row r="31" spans="1:8">
      <c r="A31" s="9" t="s">
        <v>286</v>
      </c>
      <c r="B31" s="9">
        <v>2500</v>
      </c>
      <c r="C31" s="135"/>
      <c r="D31" s="135"/>
      <c r="E31" s="135"/>
    </row>
  </sheetData>
  <sortState xmlns:xlrd2="http://schemas.microsoft.com/office/spreadsheetml/2017/richdata2" ref="A2:A8">
    <sortCondition ref="A2:A8"/>
  </sortState>
  <mergeCells count="6">
    <mergeCell ref="C31:E31"/>
    <mergeCell ref="C26:E26"/>
    <mergeCell ref="C27:E27"/>
    <mergeCell ref="C28:E28"/>
    <mergeCell ref="C29:E29"/>
    <mergeCell ref="C30:E3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CAD9-3A78-48CF-856D-06AA0EF59E9B}">
  <sheetPr codeName="Sheet4">
    <tabColor theme="5" tint="0.79998168889431442"/>
  </sheetPr>
  <dimension ref="A1:H7"/>
  <sheetViews>
    <sheetView workbookViewId="0"/>
  </sheetViews>
  <sheetFormatPr defaultRowHeight="14.4"/>
  <cols>
    <col min="1" max="1" width="33.33203125" customWidth="1"/>
    <col min="2" max="2" width="23" bestFit="1" customWidth="1"/>
    <col min="3" max="3" width="18.21875" customWidth="1"/>
    <col min="6" max="6" width="23" bestFit="1" customWidth="1"/>
    <col min="7" max="7" width="32.33203125" bestFit="1" customWidth="1"/>
    <col min="8" max="8" width="38.5546875" bestFit="1" customWidth="1"/>
  </cols>
  <sheetData>
    <row r="1" spans="1:8">
      <c r="A1" s="3" t="s">
        <v>61</v>
      </c>
      <c r="B1" s="3" t="s">
        <v>47</v>
      </c>
      <c r="C1" s="3" t="s">
        <v>48</v>
      </c>
    </row>
    <row r="2" spans="1:8">
      <c r="A2" s="9" t="s">
        <v>41</v>
      </c>
      <c r="B2" s="10"/>
      <c r="C2" s="115"/>
      <c r="F2" s="6" t="s">
        <v>49</v>
      </c>
      <c r="G2" s="7" t="s">
        <v>55</v>
      </c>
      <c r="H2" s="14"/>
    </row>
    <row r="3" spans="1:8">
      <c r="A3" s="9" t="s">
        <v>42</v>
      </c>
      <c r="B3" s="9"/>
      <c r="C3" s="9"/>
      <c r="F3" s="13" t="s">
        <v>50</v>
      </c>
      <c r="G3" s="13" t="s">
        <v>56</v>
      </c>
      <c r="H3" s="14"/>
    </row>
    <row r="4" spans="1:8">
      <c r="A4" s="9" t="s">
        <v>43</v>
      </c>
      <c r="B4" s="9"/>
      <c r="C4" s="9"/>
      <c r="F4" s="13" t="s">
        <v>51</v>
      </c>
      <c r="G4" s="13" t="s">
        <v>57</v>
      </c>
    </row>
    <row r="5" spans="1:8">
      <c r="A5" s="9" t="s">
        <v>44</v>
      </c>
      <c r="B5" s="9"/>
      <c r="C5" s="9"/>
      <c r="F5" s="13" t="s">
        <v>52</v>
      </c>
      <c r="G5" s="13" t="s">
        <v>58</v>
      </c>
    </row>
    <row r="6" spans="1:8">
      <c r="A6" s="9" t="s">
        <v>45</v>
      </c>
      <c r="B6" s="9"/>
      <c r="C6" s="9"/>
      <c r="F6" s="13" t="s">
        <v>53</v>
      </c>
      <c r="G6" s="13" t="s">
        <v>59</v>
      </c>
    </row>
    <row r="7" spans="1:8">
      <c r="A7" s="9" t="s">
        <v>46</v>
      </c>
      <c r="B7" s="9"/>
      <c r="C7" s="9"/>
      <c r="F7" s="13" t="s">
        <v>54</v>
      </c>
      <c r="G7" s="13" t="s">
        <v>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255B-447D-45D4-9BBB-6F6EA0EB0630}">
  <sheetPr codeName="Sheet3">
    <tabColor theme="5" tint="0.79998168889431442"/>
  </sheetPr>
  <dimension ref="A1:Q15"/>
  <sheetViews>
    <sheetView workbookViewId="0"/>
  </sheetViews>
  <sheetFormatPr defaultRowHeight="14.4"/>
  <cols>
    <col min="1" max="1" width="16.109375" bestFit="1" customWidth="1"/>
    <col min="2" max="2" width="9.6640625" bestFit="1" customWidth="1"/>
    <col min="3" max="3" width="6.88671875" customWidth="1"/>
    <col min="4" max="4" width="6.109375" bestFit="1" customWidth="1"/>
    <col min="6" max="6" width="20.88671875" bestFit="1" customWidth="1"/>
    <col min="7" max="7" width="16.33203125" bestFit="1" customWidth="1"/>
    <col min="8" max="8" width="2.77734375" customWidth="1"/>
    <col min="9" max="9" width="8.77734375" customWidth="1"/>
    <col min="10" max="10" width="11.88671875" bestFit="1" customWidth="1"/>
    <col min="13" max="13" width="13.109375" customWidth="1"/>
    <col min="14" max="14" width="20.77734375" bestFit="1" customWidth="1"/>
    <col min="17" max="17" width="14.109375" customWidth="1"/>
  </cols>
  <sheetData>
    <row r="1" spans="1:17" ht="28.8">
      <c r="A1" s="77" t="s">
        <v>137</v>
      </c>
      <c r="B1" s="79" t="s">
        <v>303</v>
      </c>
      <c r="C1" s="79" t="s">
        <v>118</v>
      </c>
      <c r="D1" s="79" t="s">
        <v>309</v>
      </c>
      <c r="E1" s="79" t="s">
        <v>304</v>
      </c>
      <c r="F1" s="79" t="s">
        <v>307</v>
      </c>
      <c r="G1" s="79" t="s">
        <v>310</v>
      </c>
      <c r="J1" s="79" t="s">
        <v>467</v>
      </c>
      <c r="K1" s="79" t="s">
        <v>304</v>
      </c>
      <c r="M1" s="79" t="s">
        <v>303</v>
      </c>
      <c r="N1" s="79" t="s">
        <v>307</v>
      </c>
      <c r="P1" s="79" t="s">
        <v>309</v>
      </c>
      <c r="Q1" s="79" t="s">
        <v>310</v>
      </c>
    </row>
    <row r="2" spans="1:17">
      <c r="A2" s="78" t="s">
        <v>10</v>
      </c>
      <c r="B2" s="12" t="s">
        <v>140</v>
      </c>
      <c r="C2" s="12">
        <v>90</v>
      </c>
      <c r="D2" s="12">
        <v>3</v>
      </c>
      <c r="E2" s="10"/>
      <c r="F2" s="74"/>
      <c r="G2" s="75"/>
      <c r="J2" s="9" t="s">
        <v>443</v>
      </c>
      <c r="K2" s="59" t="s">
        <v>0</v>
      </c>
      <c r="M2" s="9" t="s">
        <v>140</v>
      </c>
      <c r="N2" s="9" t="s">
        <v>450</v>
      </c>
      <c r="P2" s="59">
        <v>0</v>
      </c>
      <c r="Q2" s="9" t="s">
        <v>453</v>
      </c>
    </row>
    <row r="3" spans="1:17">
      <c r="A3" s="78" t="s">
        <v>6</v>
      </c>
      <c r="B3" s="12" t="s">
        <v>141</v>
      </c>
      <c r="C3" s="12">
        <v>75</v>
      </c>
      <c r="D3" s="12">
        <v>2</v>
      </c>
      <c r="E3" s="9"/>
      <c r="F3" s="9"/>
      <c r="G3" s="9"/>
      <c r="J3" s="9" t="s">
        <v>444</v>
      </c>
      <c r="K3" s="59" t="s">
        <v>1</v>
      </c>
      <c r="M3" s="9" t="s">
        <v>141</v>
      </c>
      <c r="N3" s="9" t="s">
        <v>451</v>
      </c>
      <c r="P3" s="59">
        <v>1</v>
      </c>
      <c r="Q3" s="9" t="s">
        <v>454</v>
      </c>
    </row>
    <row r="4" spans="1:17">
      <c r="A4" s="78" t="s">
        <v>7</v>
      </c>
      <c r="B4" s="12" t="s">
        <v>301</v>
      </c>
      <c r="C4" s="12">
        <v>60</v>
      </c>
      <c r="D4" s="12">
        <v>4</v>
      </c>
      <c r="E4" s="9"/>
      <c r="F4" s="9"/>
      <c r="G4" s="9"/>
      <c r="J4" s="9" t="s">
        <v>445</v>
      </c>
      <c r="K4" s="59" t="s">
        <v>19</v>
      </c>
      <c r="M4" s="9" t="s">
        <v>301</v>
      </c>
      <c r="N4" s="9" t="s">
        <v>155</v>
      </c>
      <c r="P4" s="59">
        <v>2</v>
      </c>
      <c r="Q4" s="9" t="s">
        <v>455</v>
      </c>
    </row>
    <row r="5" spans="1:17">
      <c r="A5" s="78" t="s">
        <v>4</v>
      </c>
      <c r="B5" s="12" t="s">
        <v>302</v>
      </c>
      <c r="C5" s="12">
        <v>85</v>
      </c>
      <c r="D5" s="12">
        <v>1</v>
      </c>
      <c r="E5" s="9"/>
      <c r="F5" s="9"/>
      <c r="G5" s="9"/>
      <c r="J5" s="9" t="s">
        <v>446</v>
      </c>
      <c r="K5" s="59" t="s">
        <v>20</v>
      </c>
      <c r="M5" s="9" t="s">
        <v>302</v>
      </c>
      <c r="N5" s="9" t="s">
        <v>452</v>
      </c>
      <c r="P5" s="59">
        <v>3</v>
      </c>
      <c r="Q5" s="9" t="s">
        <v>456</v>
      </c>
    </row>
    <row r="6" spans="1:17">
      <c r="A6" s="78" t="s">
        <v>9</v>
      </c>
      <c r="B6" s="12" t="s">
        <v>141</v>
      </c>
      <c r="C6" s="12">
        <v>91</v>
      </c>
      <c r="D6" s="12">
        <v>5</v>
      </c>
      <c r="E6" s="9"/>
      <c r="F6" s="9"/>
      <c r="G6" s="9"/>
      <c r="J6" s="9" t="s">
        <v>447</v>
      </c>
      <c r="K6" s="59" t="s">
        <v>448</v>
      </c>
      <c r="M6" s="9" t="s">
        <v>447</v>
      </c>
      <c r="N6" s="9" t="s">
        <v>449</v>
      </c>
      <c r="P6" s="59">
        <v>4</v>
      </c>
      <c r="Q6" s="9" t="s">
        <v>457</v>
      </c>
    </row>
    <row r="7" spans="1:17">
      <c r="A7" s="78" t="s">
        <v>8</v>
      </c>
      <c r="B7" s="12" t="s">
        <v>301</v>
      </c>
      <c r="C7" s="12">
        <v>50</v>
      </c>
      <c r="D7" s="12">
        <v>0</v>
      </c>
      <c r="E7" s="9"/>
      <c r="F7" s="9"/>
      <c r="G7" s="9"/>
      <c r="P7" s="59">
        <v>5</v>
      </c>
      <c r="Q7" s="9" t="s">
        <v>458</v>
      </c>
    </row>
    <row r="8" spans="1:17">
      <c r="A8" s="78" t="s">
        <v>5</v>
      </c>
      <c r="B8" s="12" t="s">
        <v>305</v>
      </c>
      <c r="C8" s="12">
        <v>99</v>
      </c>
      <c r="D8" s="12">
        <v>2</v>
      </c>
      <c r="E8" s="9"/>
      <c r="F8" s="9"/>
      <c r="G8" s="9"/>
    </row>
    <row r="11" spans="1:17">
      <c r="E11" s="138" t="s">
        <v>306</v>
      </c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3" spans="1:17">
      <c r="E13" s="139" t="s">
        <v>308</v>
      </c>
      <c r="F13" s="139"/>
      <c r="G13" s="139"/>
      <c r="H13" s="139"/>
      <c r="I13" s="139"/>
      <c r="J13" s="139"/>
      <c r="K13" s="139"/>
      <c r="L13" s="139"/>
      <c r="M13" s="139"/>
      <c r="N13" s="139"/>
      <c r="O13" s="139"/>
    </row>
    <row r="15" spans="1:17">
      <c r="E15" s="140" t="s">
        <v>311</v>
      </c>
      <c r="F15" s="140"/>
      <c r="G15" s="140"/>
      <c r="H15" s="140"/>
      <c r="I15" s="140"/>
      <c r="J15" s="140"/>
      <c r="K15" s="140"/>
      <c r="L15" s="140"/>
      <c r="M15" s="140"/>
      <c r="N15" s="140"/>
      <c r="O15" s="140"/>
    </row>
  </sheetData>
  <mergeCells count="3">
    <mergeCell ref="E11:O11"/>
    <mergeCell ref="E13:O13"/>
    <mergeCell ref="E15:O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AF18-58A1-4982-836E-BE7BA915A6C0}">
  <sheetPr codeName="Sheet6">
    <tabColor rgb="FFFCBEF6"/>
  </sheetPr>
  <dimension ref="A1:K20"/>
  <sheetViews>
    <sheetView workbookViewId="0"/>
  </sheetViews>
  <sheetFormatPr defaultRowHeight="14.4"/>
  <cols>
    <col min="5" max="5" width="11.77734375" bestFit="1" customWidth="1"/>
    <col min="11" max="11" width="46.5546875" bestFit="1" customWidth="1"/>
  </cols>
  <sheetData>
    <row r="1" spans="1:11">
      <c r="A1" s="79" t="s">
        <v>83</v>
      </c>
      <c r="B1" s="79" t="s">
        <v>98</v>
      </c>
      <c r="C1" s="3" t="s">
        <v>304</v>
      </c>
    </row>
    <row r="2" spans="1:11">
      <c r="A2" s="12" t="s">
        <v>68</v>
      </c>
      <c r="B2" s="12">
        <v>50</v>
      </c>
      <c r="C2" s="59" t="s">
        <v>0</v>
      </c>
      <c r="E2" s="4"/>
      <c r="K2" s="58" t="s">
        <v>417</v>
      </c>
    </row>
    <row r="3" spans="1:11">
      <c r="A3" s="12" t="s">
        <v>69</v>
      </c>
      <c r="B3" s="12">
        <v>30</v>
      </c>
      <c r="C3" s="59" t="s">
        <v>19</v>
      </c>
    </row>
    <row r="4" spans="1:11" ht="14.55" customHeight="1">
      <c r="A4" s="12" t="s">
        <v>71</v>
      </c>
      <c r="B4" s="12">
        <v>40</v>
      </c>
      <c r="C4" s="59" t="s">
        <v>20</v>
      </c>
      <c r="E4" s="142" t="s">
        <v>416</v>
      </c>
      <c r="F4" s="142"/>
      <c r="G4" s="142"/>
      <c r="H4" s="142"/>
    </row>
    <row r="5" spans="1:11">
      <c r="A5" s="12" t="s">
        <v>72</v>
      </c>
      <c r="B5" s="12">
        <v>60</v>
      </c>
      <c r="C5" s="59" t="s">
        <v>1</v>
      </c>
      <c r="E5" s="142"/>
      <c r="F5" s="142"/>
      <c r="G5" s="142"/>
      <c r="H5" s="142"/>
    </row>
    <row r="6" spans="1:11">
      <c r="A6" s="12" t="s">
        <v>77</v>
      </c>
      <c r="B6" s="12">
        <v>80</v>
      </c>
      <c r="C6" s="59" t="s">
        <v>0</v>
      </c>
      <c r="E6" s="142"/>
      <c r="F6" s="142"/>
      <c r="G6" s="142"/>
      <c r="H6" s="142"/>
    </row>
    <row r="7" spans="1:11">
      <c r="A7" s="12" t="s">
        <v>68</v>
      </c>
      <c r="B7" s="12">
        <v>55</v>
      </c>
      <c r="C7" s="59" t="s">
        <v>422</v>
      </c>
      <c r="E7" s="142"/>
      <c r="F7" s="142"/>
      <c r="G7" s="142"/>
      <c r="H7" s="142"/>
    </row>
    <row r="9" spans="1:11">
      <c r="E9" s="21"/>
      <c r="K9" s="20" t="s">
        <v>418</v>
      </c>
    </row>
    <row r="11" spans="1:11">
      <c r="E11" s="141" t="s">
        <v>419</v>
      </c>
      <c r="F11" s="141"/>
      <c r="G11" s="141"/>
      <c r="H11" s="141"/>
      <c r="I11" s="14"/>
    </row>
    <row r="13" spans="1:11">
      <c r="E13" s="23"/>
      <c r="K13" s="22" t="s">
        <v>420</v>
      </c>
    </row>
    <row r="15" spans="1:11">
      <c r="E15" s="142" t="s">
        <v>421</v>
      </c>
      <c r="F15" s="142"/>
      <c r="G15" s="142"/>
      <c r="H15" s="142"/>
      <c r="I15" s="142"/>
    </row>
    <row r="16" spans="1:11">
      <c r="E16" s="142"/>
      <c r="F16" s="142"/>
      <c r="G16" s="142"/>
      <c r="H16" s="142"/>
      <c r="I16" s="142"/>
    </row>
    <row r="18" spans="5:11">
      <c r="E18" s="28"/>
      <c r="K18" s="27" t="s">
        <v>423</v>
      </c>
    </row>
    <row r="20" spans="5:11">
      <c r="E20" s="141" t="s">
        <v>424</v>
      </c>
      <c r="F20" s="141"/>
      <c r="G20" s="141"/>
      <c r="H20" s="141"/>
    </row>
  </sheetData>
  <mergeCells count="4">
    <mergeCell ref="E20:H20"/>
    <mergeCell ref="E4:H7"/>
    <mergeCell ref="E11:H11"/>
    <mergeCell ref="E15:I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69B7-E453-409E-A8D3-830F5E927FE0}">
  <sheetPr codeName="Sheet7">
    <tabColor rgb="FFFCBEF6"/>
  </sheetPr>
  <dimension ref="A1:K16"/>
  <sheetViews>
    <sheetView workbookViewId="0"/>
  </sheetViews>
  <sheetFormatPr defaultRowHeight="14.4"/>
  <cols>
    <col min="11" max="11" width="27.44140625" bestFit="1" customWidth="1"/>
  </cols>
  <sheetData>
    <row r="1" spans="1:11">
      <c r="A1" s="79" t="s">
        <v>83</v>
      </c>
      <c r="B1" s="79" t="s">
        <v>98</v>
      </c>
      <c r="C1" s="3" t="s">
        <v>304</v>
      </c>
    </row>
    <row r="2" spans="1:11">
      <c r="A2" s="12" t="s">
        <v>68</v>
      </c>
      <c r="B2" s="12">
        <v>80</v>
      </c>
      <c r="C2" s="59" t="s">
        <v>0</v>
      </c>
      <c r="E2" s="4"/>
      <c r="K2" s="6" t="s">
        <v>426</v>
      </c>
    </row>
    <row r="3" spans="1:11">
      <c r="A3" s="12" t="s">
        <v>69</v>
      </c>
      <c r="B3" s="12">
        <v>60</v>
      </c>
      <c r="C3" s="59" t="s">
        <v>19</v>
      </c>
    </row>
    <row r="4" spans="1:11">
      <c r="A4" s="12" t="s">
        <v>71</v>
      </c>
      <c r="B4" s="12">
        <v>55</v>
      </c>
      <c r="C4" s="59" t="s">
        <v>20</v>
      </c>
      <c r="E4" s="141" t="s">
        <v>425</v>
      </c>
      <c r="F4" s="141"/>
      <c r="G4" s="141"/>
      <c r="H4" s="141"/>
      <c r="I4" s="141"/>
    </row>
    <row r="5" spans="1:11">
      <c r="A5" s="12" t="s">
        <v>72</v>
      </c>
      <c r="B5" s="12">
        <v>50</v>
      </c>
      <c r="C5" s="59" t="s">
        <v>1</v>
      </c>
    </row>
    <row r="6" spans="1:11">
      <c r="A6" s="12" t="s">
        <v>77</v>
      </c>
      <c r="B6" s="12">
        <v>40</v>
      </c>
      <c r="C6" s="59" t="s">
        <v>0</v>
      </c>
      <c r="E6" s="21"/>
      <c r="K6" s="20" t="s">
        <v>428</v>
      </c>
    </row>
    <row r="7" spans="1:11">
      <c r="A7" s="12" t="s">
        <v>68</v>
      </c>
      <c r="B7" s="12">
        <v>30</v>
      </c>
      <c r="C7" s="59" t="s">
        <v>422</v>
      </c>
    </row>
    <row r="8" spans="1:11">
      <c r="E8" s="141" t="s">
        <v>427</v>
      </c>
      <c r="F8" s="141"/>
      <c r="G8" s="141"/>
      <c r="H8" s="141"/>
      <c r="I8" s="141"/>
    </row>
    <row r="10" spans="1:11">
      <c r="E10" s="23"/>
      <c r="K10" s="22" t="s">
        <v>429</v>
      </c>
    </row>
    <row r="12" spans="1:11">
      <c r="E12" s="141" t="s">
        <v>424</v>
      </c>
      <c r="F12" s="141"/>
      <c r="G12" s="141"/>
      <c r="H12" s="141"/>
      <c r="I12" s="141"/>
    </row>
    <row r="14" spans="1:11">
      <c r="E14" s="28"/>
      <c r="K14" s="27" t="s">
        <v>431</v>
      </c>
    </row>
    <row r="16" spans="1:11">
      <c r="E16" s="141" t="s">
        <v>430</v>
      </c>
      <c r="F16" s="141"/>
      <c r="G16" s="141"/>
      <c r="H16" s="141"/>
      <c r="I16" s="141"/>
    </row>
  </sheetData>
  <sortState xmlns:xlrd2="http://schemas.microsoft.com/office/spreadsheetml/2017/richdata2" ref="B2:B7">
    <sortCondition descending="1" ref="B2:B7"/>
  </sortState>
  <mergeCells count="4">
    <mergeCell ref="E4:I4"/>
    <mergeCell ref="E8:I8"/>
    <mergeCell ref="E12:I12"/>
    <mergeCell ref="E16:I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DED5-6A45-4BC1-8304-732688693A18}">
  <sheetPr codeName="Sheet9">
    <tabColor rgb="FFFCBEF6"/>
  </sheetPr>
  <dimension ref="A1:K21"/>
  <sheetViews>
    <sheetView workbookViewId="0"/>
  </sheetViews>
  <sheetFormatPr defaultRowHeight="14.4"/>
  <cols>
    <col min="2" max="2" width="11.21875" bestFit="1" customWidth="1"/>
    <col min="11" max="11" width="29.77734375" bestFit="1" customWidth="1"/>
  </cols>
  <sheetData>
    <row r="1" spans="1:11">
      <c r="A1" s="79" t="s">
        <v>406</v>
      </c>
      <c r="B1" s="79" t="s">
        <v>78</v>
      </c>
      <c r="C1" s="79" t="s">
        <v>139</v>
      </c>
    </row>
    <row r="2" spans="1:11">
      <c r="A2" s="12">
        <v>1</v>
      </c>
      <c r="B2" s="9" t="s">
        <v>68</v>
      </c>
      <c r="C2" s="12">
        <v>5000</v>
      </c>
      <c r="E2" s="4"/>
      <c r="K2" s="6" t="s">
        <v>409</v>
      </c>
    </row>
    <row r="3" spans="1:11">
      <c r="A3" s="12">
        <v>2</v>
      </c>
      <c r="B3" s="9" t="s">
        <v>69</v>
      </c>
      <c r="C3" s="12">
        <v>7000</v>
      </c>
    </row>
    <row r="4" spans="1:11" ht="14.55" customHeight="1">
      <c r="A4" s="12">
        <v>3</v>
      </c>
      <c r="B4" s="9" t="s">
        <v>76</v>
      </c>
      <c r="C4" s="12">
        <v>9000</v>
      </c>
      <c r="E4" s="143" t="s">
        <v>410</v>
      </c>
      <c r="F4" s="143"/>
      <c r="G4" s="143"/>
      <c r="H4" s="143"/>
      <c r="I4" s="63"/>
    </row>
    <row r="5" spans="1:11" ht="14.55" customHeight="1">
      <c r="A5" s="12">
        <v>4</v>
      </c>
      <c r="B5" s="9" t="s">
        <v>77</v>
      </c>
      <c r="C5" s="12">
        <v>7500</v>
      </c>
      <c r="E5" s="143"/>
      <c r="F5" s="143"/>
      <c r="G5" s="143"/>
      <c r="H5" s="143"/>
      <c r="I5" s="63"/>
    </row>
    <row r="6" spans="1:11">
      <c r="A6" s="12">
        <v>5</v>
      </c>
      <c r="B6" s="9" t="s">
        <v>72</v>
      </c>
      <c r="C6" s="12">
        <v>8000</v>
      </c>
      <c r="E6" s="143"/>
      <c r="F6" s="143"/>
      <c r="G6" s="143"/>
      <c r="H6" s="143"/>
      <c r="I6" s="63"/>
    </row>
    <row r="7" spans="1:11">
      <c r="A7" s="12">
        <v>6</v>
      </c>
      <c r="B7" s="9" t="s">
        <v>71</v>
      </c>
      <c r="C7" s="12">
        <v>3500</v>
      </c>
      <c r="E7" s="143"/>
      <c r="F7" s="143"/>
      <c r="G7" s="143"/>
      <c r="H7" s="143"/>
      <c r="I7" s="63"/>
    </row>
    <row r="8" spans="1:11">
      <c r="A8" s="12">
        <v>7</v>
      </c>
      <c r="B8" s="9" t="s">
        <v>408</v>
      </c>
      <c r="C8" s="12">
        <v>4500</v>
      </c>
      <c r="E8" s="99"/>
      <c r="F8" s="99"/>
      <c r="G8" s="99"/>
      <c r="H8" s="99"/>
      <c r="I8" s="63"/>
    </row>
    <row r="9" spans="1:11">
      <c r="A9" s="12">
        <v>8</v>
      </c>
      <c r="B9" s="9" t="s">
        <v>74</v>
      </c>
      <c r="C9" s="12">
        <v>7500</v>
      </c>
    </row>
    <row r="10" spans="1:11">
      <c r="A10" s="12">
        <v>9</v>
      </c>
      <c r="B10" s="9" t="s">
        <v>407</v>
      </c>
      <c r="C10" s="12">
        <v>9000</v>
      </c>
      <c r="E10" s="21"/>
      <c r="K10" s="20" t="s">
        <v>412</v>
      </c>
    </row>
    <row r="11" spans="1:11">
      <c r="A11" s="12">
        <v>10</v>
      </c>
      <c r="B11" s="9" t="s">
        <v>75</v>
      </c>
      <c r="C11" s="12">
        <v>9500</v>
      </c>
    </row>
    <row r="12" spans="1:11">
      <c r="E12" s="142" t="s">
        <v>411</v>
      </c>
      <c r="F12" s="141"/>
      <c r="G12" s="141"/>
      <c r="H12" s="141"/>
    </row>
    <row r="13" spans="1:11">
      <c r="E13" s="141"/>
      <c r="F13" s="141"/>
      <c r="G13" s="141"/>
      <c r="H13" s="141"/>
    </row>
    <row r="14" spans="1:11">
      <c r="B14" s="23"/>
      <c r="E14" s="141"/>
      <c r="F14" s="141"/>
      <c r="G14" s="141"/>
      <c r="H14" s="141"/>
    </row>
    <row r="15" spans="1:11">
      <c r="E15" s="141"/>
      <c r="F15" s="141"/>
      <c r="G15" s="141"/>
      <c r="H15" s="141"/>
    </row>
    <row r="16" spans="1:11">
      <c r="E16" s="141"/>
      <c r="F16" s="141"/>
      <c r="G16" s="141"/>
      <c r="H16" s="141"/>
    </row>
    <row r="18" spans="5:11">
      <c r="K18" s="22" t="s">
        <v>413</v>
      </c>
    </row>
    <row r="19" spans="5:11">
      <c r="E19" s="141" t="s">
        <v>414</v>
      </c>
      <c r="F19" s="141"/>
      <c r="G19" s="141"/>
      <c r="H19" s="141"/>
      <c r="I19" s="141"/>
      <c r="J19" s="141"/>
    </row>
    <row r="21" spans="5:11">
      <c r="E21" s="141" t="s">
        <v>415</v>
      </c>
      <c r="F21" s="141"/>
      <c r="G21" s="141"/>
      <c r="H21" s="141"/>
      <c r="I21" s="141"/>
      <c r="J21" s="141"/>
    </row>
  </sheetData>
  <sortState xmlns:xlrd2="http://schemas.microsoft.com/office/spreadsheetml/2017/richdata2" ref="B2:B20">
    <sortCondition ref="B2:B20"/>
  </sortState>
  <mergeCells count="4">
    <mergeCell ref="E21:J21"/>
    <mergeCell ref="E12:H16"/>
    <mergeCell ref="E4:H7"/>
    <mergeCell ref="E19:J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33BC-BF07-47CB-BFD5-416925B05DF2}">
  <sheetPr>
    <tabColor rgb="FFFCBEF6"/>
  </sheetPr>
  <dimension ref="A1:T27"/>
  <sheetViews>
    <sheetView workbookViewId="0"/>
  </sheetViews>
  <sheetFormatPr defaultRowHeight="14.4"/>
  <cols>
    <col min="1" max="1" width="9" customWidth="1"/>
    <col min="16" max="16" width="10.33203125" bestFit="1" customWidth="1"/>
    <col min="19" max="19" width="9.21875" bestFit="1" customWidth="1"/>
  </cols>
  <sheetData>
    <row r="1" spans="1:20" ht="16.2" thickBot="1">
      <c r="A1" s="79" t="s">
        <v>78</v>
      </c>
      <c r="C1" s="4"/>
      <c r="E1" s="122"/>
      <c r="G1" s="23"/>
      <c r="I1" s="123"/>
      <c r="J1" s="71"/>
      <c r="K1" s="28"/>
      <c r="L1" s="124"/>
      <c r="M1" s="125"/>
      <c r="P1" s="144" t="s">
        <v>468</v>
      </c>
      <c r="Q1" s="145"/>
    </row>
    <row r="2" spans="1:20">
      <c r="A2" s="12" t="s">
        <v>68</v>
      </c>
      <c r="H2" s="126"/>
      <c r="S2" s="146" t="s">
        <v>469</v>
      </c>
      <c r="T2" s="146"/>
    </row>
    <row r="3" spans="1:20">
      <c r="A3" s="12" t="s">
        <v>69</v>
      </c>
      <c r="P3" s="29" t="s">
        <v>395</v>
      </c>
      <c r="Q3" s="29" t="s">
        <v>470</v>
      </c>
      <c r="S3" s="29" t="s">
        <v>395</v>
      </c>
      <c r="T3" s="29" t="s">
        <v>470</v>
      </c>
    </row>
    <row r="4" spans="1:20">
      <c r="A4" s="12" t="s">
        <v>70</v>
      </c>
      <c r="P4" s="127">
        <v>45292</v>
      </c>
      <c r="Q4">
        <v>476</v>
      </c>
      <c r="S4" s="128"/>
    </row>
    <row r="5" spans="1:20">
      <c r="A5" s="12" t="s">
        <v>71</v>
      </c>
      <c r="P5" s="127">
        <v>45323</v>
      </c>
      <c r="Q5">
        <v>312</v>
      </c>
      <c r="S5" s="127"/>
    </row>
    <row r="6" spans="1:20">
      <c r="A6" s="12" t="s">
        <v>72</v>
      </c>
      <c r="P6" s="127">
        <v>45352</v>
      </c>
      <c r="Q6">
        <v>370</v>
      </c>
      <c r="S6" s="127"/>
    </row>
    <row r="7" spans="1:20">
      <c r="A7" s="12" t="s">
        <v>73</v>
      </c>
      <c r="P7" s="127">
        <v>45383</v>
      </c>
      <c r="Q7">
        <v>497</v>
      </c>
      <c r="S7" s="127"/>
    </row>
    <row r="8" spans="1:20">
      <c r="A8" s="12" t="s">
        <v>74</v>
      </c>
      <c r="P8" s="127">
        <v>45413</v>
      </c>
      <c r="Q8">
        <v>292</v>
      </c>
      <c r="S8" s="127"/>
    </row>
    <row r="9" spans="1:20">
      <c r="A9" s="12" t="s">
        <v>471</v>
      </c>
      <c r="P9" s="127">
        <v>45444</v>
      </c>
      <c r="Q9">
        <v>274</v>
      </c>
      <c r="S9" s="127"/>
    </row>
    <row r="10" spans="1:20">
      <c r="A10" s="12" t="s">
        <v>76</v>
      </c>
      <c r="P10" s="127">
        <v>45474</v>
      </c>
      <c r="Q10">
        <v>241</v>
      </c>
      <c r="S10" s="127"/>
    </row>
    <row r="11" spans="1:20">
      <c r="A11" s="12" t="s">
        <v>77</v>
      </c>
      <c r="P11" s="127">
        <v>45505</v>
      </c>
      <c r="Q11">
        <v>311</v>
      </c>
      <c r="S11" s="127"/>
    </row>
    <row r="12" spans="1:20">
      <c r="P12" s="127">
        <v>45536</v>
      </c>
      <c r="Q12">
        <v>259</v>
      </c>
      <c r="S12" s="127"/>
    </row>
    <row r="13" spans="1:20">
      <c r="P13" s="127">
        <v>45566</v>
      </c>
      <c r="Q13">
        <v>320</v>
      </c>
      <c r="S13" s="127"/>
    </row>
    <row r="14" spans="1:20">
      <c r="P14" s="127">
        <v>45597</v>
      </c>
      <c r="Q14">
        <v>274</v>
      </c>
      <c r="S14" s="127"/>
    </row>
    <row r="15" spans="1:20">
      <c r="P15" s="127">
        <v>45627</v>
      </c>
      <c r="Q15">
        <v>460</v>
      </c>
      <c r="S15" s="127"/>
    </row>
    <row r="16" spans="1:20">
      <c r="P16" s="127">
        <v>45658</v>
      </c>
      <c r="Q16">
        <v>458</v>
      </c>
    </row>
    <row r="17" spans="5:17">
      <c r="P17" s="127">
        <v>45689</v>
      </c>
      <c r="Q17">
        <v>292</v>
      </c>
    </row>
    <row r="18" spans="5:17">
      <c r="E18" s="147" t="s">
        <v>472</v>
      </c>
      <c r="F18" s="147"/>
      <c r="G18" s="147"/>
      <c r="P18" s="127">
        <v>45717</v>
      </c>
      <c r="Q18">
        <v>462</v>
      </c>
    </row>
    <row r="19" spans="5:17">
      <c r="E19" s="148" t="s">
        <v>473</v>
      </c>
      <c r="F19" s="148"/>
      <c r="G19" s="148"/>
      <c r="P19" s="127">
        <v>45748</v>
      </c>
      <c r="Q19">
        <v>452</v>
      </c>
    </row>
    <row r="20" spans="5:17">
      <c r="E20" s="140" t="s">
        <v>474</v>
      </c>
      <c r="F20" s="140"/>
      <c r="G20" s="140"/>
      <c r="P20" s="128"/>
      <c r="Q20" s="23"/>
    </row>
    <row r="21" spans="5:17">
      <c r="E21" s="149" t="s">
        <v>475</v>
      </c>
      <c r="F21" s="149"/>
      <c r="G21" s="149"/>
      <c r="P21" s="128"/>
      <c r="Q21" s="23"/>
    </row>
    <row r="22" spans="5:17">
      <c r="E22" s="150" t="s">
        <v>476</v>
      </c>
      <c r="F22" s="150"/>
      <c r="G22" s="150"/>
      <c r="P22" s="128"/>
      <c r="Q22" s="23"/>
    </row>
    <row r="23" spans="5:17">
      <c r="E23" s="151" t="s">
        <v>477</v>
      </c>
      <c r="F23" s="151"/>
      <c r="G23" s="151"/>
      <c r="P23" s="128"/>
      <c r="Q23" s="23"/>
    </row>
    <row r="24" spans="5:17">
      <c r="E24" s="152" t="s">
        <v>478</v>
      </c>
      <c r="F24" s="152"/>
      <c r="G24" s="152"/>
      <c r="P24" s="128"/>
      <c r="Q24" s="23"/>
    </row>
    <row r="25" spans="5:17">
      <c r="E25" s="153" t="s">
        <v>479</v>
      </c>
      <c r="F25" s="153"/>
      <c r="G25" s="153"/>
      <c r="P25" s="128"/>
      <c r="Q25" s="23"/>
    </row>
    <row r="26" spans="5:17">
      <c r="E26" s="154" t="s">
        <v>480</v>
      </c>
      <c r="F26" s="154"/>
      <c r="G26" s="154"/>
      <c r="P26" s="128"/>
      <c r="Q26" s="23"/>
    </row>
    <row r="27" spans="5:17">
      <c r="E27" s="140" t="s">
        <v>481</v>
      </c>
      <c r="F27" s="140"/>
      <c r="G27" s="140"/>
      <c r="P27" s="128"/>
      <c r="Q27" s="23"/>
    </row>
  </sheetData>
  <mergeCells count="12">
    <mergeCell ref="E27:G27"/>
    <mergeCell ref="P1:Q1"/>
    <mergeCell ref="S2:T2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3876-E4B3-47CB-B5CD-8AC06815E604}">
  <sheetPr codeName="Sheet5">
    <tabColor theme="7" tint="0.79998168889431442"/>
  </sheetPr>
  <dimension ref="A1:I12"/>
  <sheetViews>
    <sheetView workbookViewId="0"/>
  </sheetViews>
  <sheetFormatPr defaultRowHeight="14.4"/>
  <cols>
    <col min="1" max="2" width="9.21875"/>
    <col min="3" max="3" width="9.21875" style="11"/>
    <col min="7" max="7" width="9.21875"/>
    <col min="9" max="9" width="38" bestFit="1" customWidth="1"/>
  </cols>
  <sheetData>
    <row r="1" spans="1:9">
      <c r="A1" s="3" t="s">
        <v>3</v>
      </c>
      <c r="B1" s="3" t="s">
        <v>14</v>
      </c>
      <c r="C1" s="2" t="s">
        <v>2</v>
      </c>
      <c r="D1" s="1"/>
      <c r="E1" s="3" t="s">
        <v>3</v>
      </c>
      <c r="F1" s="3" t="s">
        <v>14</v>
      </c>
      <c r="G1" s="3" t="s">
        <v>2</v>
      </c>
    </row>
    <row r="2" spans="1:9">
      <c r="A2" s="9" t="s">
        <v>0</v>
      </c>
      <c r="B2" s="9" t="s">
        <v>15</v>
      </c>
      <c r="C2" s="8">
        <v>80</v>
      </c>
      <c r="E2" s="9" t="s">
        <v>19</v>
      </c>
      <c r="F2" s="9" t="s">
        <v>17</v>
      </c>
      <c r="G2" s="9">
        <v>120</v>
      </c>
    </row>
    <row r="3" spans="1:9">
      <c r="A3" s="9" t="s">
        <v>1</v>
      </c>
      <c r="B3" s="9" t="s">
        <v>16</v>
      </c>
      <c r="C3" s="8">
        <v>100</v>
      </c>
      <c r="E3" s="9" t="s">
        <v>20</v>
      </c>
      <c r="F3" s="9" t="s">
        <v>18</v>
      </c>
      <c r="G3" s="9">
        <v>160</v>
      </c>
    </row>
    <row r="6" spans="1:9">
      <c r="A6" s="4"/>
      <c r="I6" s="6" t="s">
        <v>62</v>
      </c>
    </row>
    <row r="7" spans="1:9">
      <c r="C7"/>
    </row>
    <row r="8" spans="1:9">
      <c r="C8"/>
    </row>
    <row r="9" spans="1:9">
      <c r="C9"/>
    </row>
    <row r="10" spans="1:9">
      <c r="C10"/>
    </row>
    <row r="11" spans="1:9">
      <c r="C11"/>
    </row>
    <row r="12" spans="1:9">
      <c r="A12" s="4"/>
      <c r="I12" s="6" t="s">
        <v>63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A344-A8BD-4EDC-9CE3-903BCF4544B5}">
  <sheetPr codeName="Sheet8">
    <tabColor theme="7" tint="0.79998168889431442"/>
  </sheetPr>
  <dimension ref="A1:K18"/>
  <sheetViews>
    <sheetView workbookViewId="0"/>
  </sheetViews>
  <sheetFormatPr defaultRowHeight="14.4"/>
  <cols>
    <col min="10" max="10" width="21.77734375" bestFit="1" customWidth="1"/>
    <col min="11" max="11" width="20" bestFit="1" customWidth="1"/>
  </cols>
  <sheetData>
    <row r="1" spans="1:11">
      <c r="A1" s="2" t="s">
        <v>21</v>
      </c>
      <c r="B1" s="2" t="s">
        <v>22</v>
      </c>
    </row>
    <row r="2" spans="1:11">
      <c r="A2" s="8">
        <v>1</v>
      </c>
      <c r="B2" s="8">
        <v>5</v>
      </c>
      <c r="J2" s="14"/>
    </row>
    <row r="3" spans="1:11">
      <c r="A3" s="8">
        <v>2</v>
      </c>
      <c r="B3" s="8">
        <v>6</v>
      </c>
      <c r="J3" s="14"/>
    </row>
    <row r="4" spans="1:11">
      <c r="A4" s="8">
        <v>3</v>
      </c>
      <c r="B4" s="8">
        <v>7</v>
      </c>
    </row>
    <row r="5" spans="1:11">
      <c r="A5" s="8">
        <v>4</v>
      </c>
      <c r="B5" s="8">
        <v>8</v>
      </c>
    </row>
    <row r="8" spans="1:11">
      <c r="A8" s="4"/>
      <c r="C8" s="5"/>
      <c r="J8" s="6" t="s">
        <v>64</v>
      </c>
      <c r="K8" s="7" t="s">
        <v>65</v>
      </c>
    </row>
    <row r="17" spans="1:10">
      <c r="A17" s="4"/>
      <c r="J17" s="6" t="s">
        <v>66</v>
      </c>
    </row>
    <row r="18" spans="1:10">
      <c r="A18" s="4"/>
      <c r="J18" s="6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7F1C-FA5D-4BC2-8A68-560168EE6CCC}">
  <sheetPr codeName="Sheet11">
    <tabColor theme="7" tint="0.79998168889431442"/>
  </sheetPr>
  <dimension ref="A1:K17"/>
  <sheetViews>
    <sheetView workbookViewId="0"/>
  </sheetViews>
  <sheetFormatPr defaultRowHeight="14.4"/>
  <cols>
    <col min="6" max="6" width="13.6640625" customWidth="1"/>
    <col min="11" max="11" width="45.6640625" bestFit="1" customWidth="1"/>
  </cols>
  <sheetData>
    <row r="1" spans="1:11">
      <c r="A1" s="79" t="s">
        <v>96</v>
      </c>
      <c r="B1" s="79" t="s">
        <v>247</v>
      </c>
      <c r="C1" s="79" t="s">
        <v>248</v>
      </c>
      <c r="D1" s="79" t="s">
        <v>249</v>
      </c>
      <c r="E1" s="79" t="s">
        <v>250</v>
      </c>
      <c r="F1" s="77" t="s">
        <v>181</v>
      </c>
    </row>
    <row r="2" spans="1:11">
      <c r="A2" s="12" t="s">
        <v>0</v>
      </c>
      <c r="B2" s="12">
        <v>100</v>
      </c>
      <c r="C2" s="12">
        <v>200</v>
      </c>
      <c r="D2" s="12">
        <v>150</v>
      </c>
      <c r="E2" s="12">
        <v>250</v>
      </c>
      <c r="F2" s="24"/>
      <c r="K2" s="58" t="s">
        <v>251</v>
      </c>
    </row>
    <row r="3" spans="1:11">
      <c r="A3" s="12" t="s">
        <v>1</v>
      </c>
      <c r="B3" s="12">
        <v>300</v>
      </c>
      <c r="C3" s="12">
        <v>400</v>
      </c>
      <c r="D3" s="12">
        <v>350</v>
      </c>
      <c r="E3" s="12">
        <v>450</v>
      </c>
    </row>
    <row r="4" spans="1:11">
      <c r="A4" s="12" t="s">
        <v>19</v>
      </c>
      <c r="B4" s="12">
        <v>500</v>
      </c>
      <c r="C4" s="12">
        <v>600</v>
      </c>
      <c r="D4" s="12">
        <v>550</v>
      </c>
      <c r="E4" s="12">
        <v>650</v>
      </c>
      <c r="K4" s="67" t="s">
        <v>254</v>
      </c>
    </row>
    <row r="5" spans="1:11">
      <c r="A5" s="18"/>
      <c r="B5" s="68"/>
      <c r="C5" s="18"/>
      <c r="D5" s="18"/>
      <c r="E5" s="18"/>
    </row>
    <row r="7" spans="1:11">
      <c r="A7" s="79" t="s">
        <v>96</v>
      </c>
      <c r="B7" s="79" t="s">
        <v>247</v>
      </c>
      <c r="C7" s="79" t="s">
        <v>248</v>
      </c>
      <c r="D7" s="79" t="s">
        <v>249</v>
      </c>
      <c r="E7" s="79" t="s">
        <v>250</v>
      </c>
      <c r="F7" s="77" t="s">
        <v>252</v>
      </c>
    </row>
    <row r="8" spans="1:11">
      <c r="A8" s="12" t="s">
        <v>0</v>
      </c>
      <c r="B8" s="12">
        <v>100</v>
      </c>
      <c r="C8" s="12">
        <v>200</v>
      </c>
      <c r="D8" s="12">
        <v>150</v>
      </c>
      <c r="E8" s="12">
        <v>250</v>
      </c>
      <c r="F8" s="65"/>
      <c r="K8" s="20" t="s">
        <v>255</v>
      </c>
    </row>
    <row r="9" spans="1:11">
      <c r="A9" s="12" t="s">
        <v>1</v>
      </c>
      <c r="B9" s="12">
        <v>300</v>
      </c>
      <c r="C9" s="12">
        <v>400</v>
      </c>
      <c r="D9" s="12">
        <v>350</v>
      </c>
      <c r="E9" s="12">
        <v>450</v>
      </c>
      <c r="F9" s="64"/>
    </row>
    <row r="10" spans="1:11">
      <c r="A10" s="12" t="s">
        <v>19</v>
      </c>
      <c r="B10" s="12">
        <v>500</v>
      </c>
      <c r="C10" s="12">
        <v>600</v>
      </c>
      <c r="D10" s="12">
        <v>550</v>
      </c>
      <c r="E10" s="12">
        <v>650</v>
      </c>
      <c r="F10" s="64"/>
      <c r="K10" s="27" t="s">
        <v>257</v>
      </c>
    </row>
    <row r="11" spans="1:11">
      <c r="A11" s="18"/>
      <c r="B11" s="69"/>
      <c r="C11" s="18"/>
      <c r="D11" s="18"/>
      <c r="E11" s="18"/>
      <c r="F11" s="64"/>
    </row>
    <row r="13" spans="1:11">
      <c r="A13" s="79" t="s">
        <v>96</v>
      </c>
      <c r="B13" s="79" t="s">
        <v>247</v>
      </c>
      <c r="C13" s="79" t="s">
        <v>248</v>
      </c>
      <c r="D13" s="79" t="s">
        <v>249</v>
      </c>
      <c r="E13" s="79" t="s">
        <v>250</v>
      </c>
      <c r="F13" s="77" t="s">
        <v>253</v>
      </c>
    </row>
    <row r="14" spans="1:11">
      <c r="A14" s="12" t="s">
        <v>0</v>
      </c>
      <c r="B14" s="12">
        <v>100</v>
      </c>
      <c r="C14" s="12">
        <v>200</v>
      </c>
      <c r="D14" s="12">
        <v>150</v>
      </c>
      <c r="E14" s="12">
        <v>250</v>
      </c>
      <c r="F14" s="66"/>
      <c r="K14" s="22" t="s">
        <v>256</v>
      </c>
    </row>
    <row r="15" spans="1:11">
      <c r="A15" s="12" t="s">
        <v>1</v>
      </c>
      <c r="B15" s="12">
        <v>300</v>
      </c>
      <c r="C15" s="12">
        <v>400</v>
      </c>
      <c r="D15" s="12">
        <v>350</v>
      </c>
      <c r="E15" s="12">
        <v>450</v>
      </c>
      <c r="F15" s="64"/>
    </row>
    <row r="16" spans="1:11">
      <c r="A16" s="12" t="s">
        <v>19</v>
      </c>
      <c r="B16" s="12">
        <v>500</v>
      </c>
      <c r="C16" s="12">
        <v>600</v>
      </c>
      <c r="D16" s="12">
        <v>550</v>
      </c>
      <c r="E16" s="12">
        <v>650</v>
      </c>
      <c r="F16" s="64"/>
      <c r="K16" s="70" t="s">
        <v>258</v>
      </c>
    </row>
    <row r="17" spans="2:2">
      <c r="B17" s="7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421-8109-4808-A45E-39D7E8DDF04F}">
  <sheetPr codeName="Sheet10">
    <tabColor theme="7" tint="0.79998168889431442"/>
  </sheetPr>
  <dimension ref="A1:K15"/>
  <sheetViews>
    <sheetView workbookViewId="0"/>
  </sheetViews>
  <sheetFormatPr defaultRowHeight="14.4"/>
  <cols>
    <col min="1" max="1" width="11.21875" bestFit="1" customWidth="1"/>
    <col min="9" max="9" width="9.21875" customWidth="1"/>
    <col min="11" max="11" width="28.109375" bestFit="1" customWidth="1"/>
  </cols>
  <sheetData>
    <row r="1" spans="1:11">
      <c r="A1" s="79" t="s">
        <v>78</v>
      </c>
    </row>
    <row r="2" spans="1:11">
      <c r="A2" s="12" t="s">
        <v>68</v>
      </c>
      <c r="D2" s="4"/>
      <c r="K2" s="6" t="s">
        <v>79</v>
      </c>
    </row>
    <row r="3" spans="1:11">
      <c r="A3" s="12" t="s">
        <v>69</v>
      </c>
    </row>
    <row r="4" spans="1:11">
      <c r="A4" s="12" t="s">
        <v>70</v>
      </c>
    </row>
    <row r="5" spans="1:11">
      <c r="A5" s="12" t="s">
        <v>71</v>
      </c>
    </row>
    <row r="6" spans="1:11">
      <c r="A6" s="12" t="s">
        <v>72</v>
      </c>
      <c r="D6" s="4"/>
      <c r="K6" s="6" t="s">
        <v>80</v>
      </c>
    </row>
    <row r="7" spans="1:11">
      <c r="A7" s="12" t="s">
        <v>73</v>
      </c>
    </row>
    <row r="8" spans="1:11">
      <c r="A8" s="12" t="s">
        <v>74</v>
      </c>
    </row>
    <row r="9" spans="1:11">
      <c r="A9" s="12" t="s">
        <v>75</v>
      </c>
    </row>
    <row r="10" spans="1:11">
      <c r="A10" s="12" t="s">
        <v>76</v>
      </c>
      <c r="D10" s="4"/>
      <c r="K10" s="6" t="s">
        <v>81</v>
      </c>
    </row>
    <row r="11" spans="1:11">
      <c r="A11" s="12" t="s">
        <v>77</v>
      </c>
    </row>
    <row r="15" spans="1:11">
      <c r="D15" s="4"/>
      <c r="K15" s="6" t="s">
        <v>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2625-1DB3-4F62-A813-906C9DA115F2}">
  <sheetPr codeName="Sheet12">
    <tabColor theme="7" tint="0.79998168889431442"/>
  </sheetPr>
  <dimension ref="A1:K18"/>
  <sheetViews>
    <sheetView workbookViewId="0"/>
  </sheetViews>
  <sheetFormatPr defaultRowHeight="14.4"/>
  <cols>
    <col min="2" max="2" width="9" bestFit="1" customWidth="1"/>
    <col min="4" max="4" width="16.5546875" customWidth="1"/>
    <col min="6" max="6" width="13.21875" bestFit="1" customWidth="1"/>
    <col min="7" max="7" width="9.88671875" customWidth="1"/>
    <col min="9" max="10" width="9.33203125" customWidth="1"/>
    <col min="11" max="11" width="26.5546875" bestFit="1" customWidth="1"/>
    <col min="12" max="12" width="20.88671875" bestFit="1" customWidth="1"/>
  </cols>
  <sheetData>
    <row r="1" spans="1:11">
      <c r="A1" s="79" t="s">
        <v>96</v>
      </c>
      <c r="B1" s="79" t="s">
        <v>97</v>
      </c>
      <c r="C1" s="79" t="s">
        <v>98</v>
      </c>
      <c r="D1" s="79" t="s">
        <v>99</v>
      </c>
    </row>
    <row r="2" spans="1:11">
      <c r="A2" s="12" t="s">
        <v>68</v>
      </c>
      <c r="B2" s="12" t="s">
        <v>83</v>
      </c>
      <c r="C2" s="12" t="s">
        <v>84</v>
      </c>
      <c r="D2" s="12" t="s">
        <v>85</v>
      </c>
    </row>
    <row r="3" spans="1:11">
      <c r="A3" s="12" t="s">
        <v>69</v>
      </c>
      <c r="B3" s="12" t="s">
        <v>83</v>
      </c>
      <c r="C3" s="12" t="s">
        <v>86</v>
      </c>
      <c r="D3" s="12" t="s">
        <v>87</v>
      </c>
    </row>
    <row r="4" spans="1:11" ht="14.4" customHeight="1">
      <c r="A4" s="12" t="s">
        <v>88</v>
      </c>
      <c r="B4" s="12" t="s">
        <v>89</v>
      </c>
      <c r="C4" s="12" t="s">
        <v>90</v>
      </c>
      <c r="D4" s="12" t="s">
        <v>85</v>
      </c>
    </row>
    <row r="5" spans="1:11" ht="14.4" customHeight="1">
      <c r="A5" s="12" t="s">
        <v>91</v>
      </c>
      <c r="B5" s="12" t="s">
        <v>89</v>
      </c>
      <c r="C5" s="12" t="s">
        <v>92</v>
      </c>
      <c r="D5" s="12" t="s">
        <v>85</v>
      </c>
    </row>
    <row r="6" spans="1:11" ht="14.4" customHeight="1">
      <c r="A6" s="12" t="s">
        <v>73</v>
      </c>
      <c r="B6" s="12" t="s">
        <v>83</v>
      </c>
      <c r="C6" s="12" t="s">
        <v>93</v>
      </c>
      <c r="D6" s="12" t="s">
        <v>87</v>
      </c>
    </row>
    <row r="7" spans="1:11" ht="14.4" customHeight="1">
      <c r="A7" s="12" t="s">
        <v>94</v>
      </c>
      <c r="B7" s="12" t="s">
        <v>89</v>
      </c>
      <c r="C7" s="12" t="s">
        <v>95</v>
      </c>
      <c r="D7" s="12" t="s">
        <v>85</v>
      </c>
    </row>
    <row r="9" spans="1:11">
      <c r="A9" s="4"/>
      <c r="D9" s="5"/>
      <c r="F9" s="15"/>
      <c r="K9" s="6" t="s">
        <v>100</v>
      </c>
    </row>
    <row r="10" spans="1:11">
      <c r="K10" s="7" t="s">
        <v>104</v>
      </c>
    </row>
    <row r="11" spans="1:11">
      <c r="K11" s="16" t="s">
        <v>101</v>
      </c>
    </row>
    <row r="17" spans="1:11">
      <c r="A17" s="4"/>
      <c r="F17" s="5"/>
      <c r="K17" s="6" t="s">
        <v>102</v>
      </c>
    </row>
    <row r="18" spans="1:11">
      <c r="K18" s="7" t="s">
        <v>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D77B-58E9-4CD9-B2A9-D20D485674AA}">
  <sheetPr codeName="Sheet16">
    <tabColor theme="7" tint="0.79998168889431442"/>
  </sheetPr>
  <dimension ref="A1:K16"/>
  <sheetViews>
    <sheetView workbookViewId="0"/>
  </sheetViews>
  <sheetFormatPr defaultRowHeight="14.4"/>
  <cols>
    <col min="11" max="11" width="25.77734375" customWidth="1"/>
  </cols>
  <sheetData>
    <row r="1" spans="1:11">
      <c r="A1" s="79" t="s">
        <v>78</v>
      </c>
    </row>
    <row r="2" spans="1:11">
      <c r="A2" s="12" t="s">
        <v>68</v>
      </c>
      <c r="C2" s="4"/>
      <c r="K2" s="6" t="s">
        <v>314</v>
      </c>
    </row>
    <row r="3" spans="1:11">
      <c r="A3" s="12" t="s">
        <v>69</v>
      </c>
    </row>
    <row r="4" spans="1:11">
      <c r="A4" s="12" t="s">
        <v>70</v>
      </c>
    </row>
    <row r="5" spans="1:11">
      <c r="A5" s="12" t="s">
        <v>72</v>
      </c>
    </row>
    <row r="6" spans="1:11">
      <c r="A6" s="12" t="s">
        <v>313</v>
      </c>
    </row>
    <row r="8" spans="1:11">
      <c r="A8" s="79" t="s">
        <v>78</v>
      </c>
      <c r="B8" s="79" t="s">
        <v>247</v>
      </c>
      <c r="C8" s="79" t="s">
        <v>248</v>
      </c>
      <c r="D8" s="79" t="s">
        <v>249</v>
      </c>
    </row>
    <row r="9" spans="1:11">
      <c r="A9" s="12" t="s">
        <v>68</v>
      </c>
      <c r="B9" s="12">
        <v>100</v>
      </c>
      <c r="C9" s="12">
        <v>150</v>
      </c>
      <c r="D9" s="12">
        <v>200</v>
      </c>
      <c r="F9" s="21"/>
      <c r="K9" s="20" t="s">
        <v>315</v>
      </c>
    </row>
    <row r="10" spans="1:11">
      <c r="A10" s="12" t="s">
        <v>69</v>
      </c>
      <c r="B10" s="12">
        <v>120</v>
      </c>
      <c r="C10" s="12">
        <v>180</v>
      </c>
      <c r="D10" s="12">
        <v>220</v>
      </c>
    </row>
    <row r="11" spans="1:11">
      <c r="A11" s="12" t="s">
        <v>70</v>
      </c>
      <c r="B11" s="9">
        <v>130</v>
      </c>
      <c r="C11" s="9">
        <v>177</v>
      </c>
      <c r="D11" s="9">
        <v>240</v>
      </c>
    </row>
    <row r="12" spans="1:11">
      <c r="A12" s="12" t="s">
        <v>72</v>
      </c>
      <c r="B12" s="9">
        <v>125</v>
      </c>
      <c r="C12" s="9">
        <v>169</v>
      </c>
      <c r="D12" s="9">
        <v>250</v>
      </c>
    </row>
    <row r="15" spans="1:11">
      <c r="D15" s="155" t="s">
        <v>316</v>
      </c>
      <c r="E15" s="155"/>
      <c r="F15" s="155"/>
      <c r="G15" s="155"/>
      <c r="H15" s="155"/>
      <c r="I15" s="155"/>
      <c r="J15" s="155"/>
      <c r="K15" s="155"/>
    </row>
    <row r="16" spans="1:11">
      <c r="D16" s="155" t="s">
        <v>317</v>
      </c>
      <c r="E16" s="155"/>
      <c r="F16" s="155"/>
      <c r="G16" s="155"/>
      <c r="H16" s="155"/>
      <c r="I16" s="155"/>
      <c r="J16" s="155"/>
      <c r="K16" s="155"/>
    </row>
  </sheetData>
  <mergeCells count="2">
    <mergeCell ref="D15:K15"/>
    <mergeCell ref="D16:K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2A08-44C8-4634-B881-97F80BE94B66}">
  <sheetPr codeName="Sheet17">
    <tabColor rgb="FFFCBEF6"/>
  </sheetPr>
  <dimension ref="A1:K38"/>
  <sheetViews>
    <sheetView workbookViewId="0"/>
  </sheetViews>
  <sheetFormatPr defaultRowHeight="14.4"/>
  <cols>
    <col min="1" max="1" width="9.6640625" customWidth="1"/>
    <col min="2" max="2" width="11.77734375" customWidth="1"/>
    <col min="5" max="5" width="10.6640625" customWidth="1"/>
    <col min="6" max="6" width="11.109375" bestFit="1" customWidth="1"/>
    <col min="8" max="8" width="4.109375" customWidth="1"/>
    <col min="9" max="9" width="26.88671875" bestFit="1" customWidth="1"/>
    <col min="10" max="10" width="2.44140625" customWidth="1"/>
  </cols>
  <sheetData>
    <row r="1" spans="1:11">
      <c r="A1" s="79" t="s">
        <v>3</v>
      </c>
      <c r="B1" s="79" t="s">
        <v>118</v>
      </c>
      <c r="E1" s="17" t="s">
        <v>3</v>
      </c>
      <c r="F1" s="17" t="s">
        <v>118</v>
      </c>
    </row>
    <row r="2" spans="1:11">
      <c r="A2" s="12" t="s">
        <v>119</v>
      </c>
      <c r="B2" s="12">
        <v>78</v>
      </c>
      <c r="E2" s="4"/>
      <c r="I2" s="6" t="s">
        <v>124</v>
      </c>
      <c r="K2" s="14" t="s">
        <v>125</v>
      </c>
    </row>
    <row r="3" spans="1:11">
      <c r="A3" s="12" t="s">
        <v>120</v>
      </c>
      <c r="B3" s="12">
        <v>95</v>
      </c>
      <c r="K3" s="14" t="s">
        <v>126</v>
      </c>
    </row>
    <row r="4" spans="1:11">
      <c r="A4" s="12" t="s">
        <v>121</v>
      </c>
      <c r="B4" s="12">
        <v>85</v>
      </c>
      <c r="K4" s="14" t="s">
        <v>127</v>
      </c>
    </row>
    <row r="5" spans="1:11">
      <c r="A5" s="12" t="s">
        <v>122</v>
      </c>
      <c r="B5" s="12">
        <v>92</v>
      </c>
      <c r="K5" s="14" t="s">
        <v>128</v>
      </c>
    </row>
    <row r="6" spans="1:11">
      <c r="A6" s="12" t="s">
        <v>123</v>
      </c>
      <c r="B6" s="12">
        <v>88</v>
      </c>
      <c r="K6" s="14" t="s">
        <v>129</v>
      </c>
    </row>
    <row r="7" spans="1:11">
      <c r="A7" s="18"/>
      <c r="B7" s="18"/>
      <c r="K7" s="14"/>
    </row>
    <row r="8" spans="1:11">
      <c r="E8" s="17" t="s">
        <v>3</v>
      </c>
      <c r="F8" s="17" t="s">
        <v>118</v>
      </c>
      <c r="K8" s="14" t="s">
        <v>145</v>
      </c>
    </row>
    <row r="9" spans="1:11">
      <c r="E9" s="21"/>
      <c r="I9" s="20" t="s">
        <v>130</v>
      </c>
      <c r="K9" t="s">
        <v>146</v>
      </c>
    </row>
    <row r="10" spans="1:11">
      <c r="K10" t="s">
        <v>147</v>
      </c>
    </row>
    <row r="11" spans="1:11">
      <c r="K11" t="s">
        <v>148</v>
      </c>
    </row>
    <row r="15" spans="1:11">
      <c r="E15" s="17" t="s">
        <v>3</v>
      </c>
      <c r="F15" s="17" t="s">
        <v>118</v>
      </c>
    </row>
    <row r="16" spans="1:11">
      <c r="E16" s="23"/>
      <c r="I16" s="22" t="s">
        <v>131</v>
      </c>
    </row>
    <row r="23" spans="1:11">
      <c r="A23" s="17" t="s">
        <v>137</v>
      </c>
      <c r="B23" s="17" t="s">
        <v>138</v>
      </c>
      <c r="C23" s="17" t="s">
        <v>139</v>
      </c>
      <c r="D23" s="17"/>
      <c r="E23" s="17" t="s">
        <v>137</v>
      </c>
      <c r="F23" s="17" t="s">
        <v>138</v>
      </c>
      <c r="G23" s="17" t="s">
        <v>139</v>
      </c>
      <c r="H23" s="17"/>
    </row>
    <row r="24" spans="1:11">
      <c r="A24" s="18" t="s">
        <v>119</v>
      </c>
      <c r="B24" s="18" t="s">
        <v>140</v>
      </c>
      <c r="C24" s="18">
        <v>5000</v>
      </c>
      <c r="D24" s="18"/>
      <c r="E24" s="4"/>
      <c r="I24" s="6" t="s">
        <v>142</v>
      </c>
      <c r="K24" s="14" t="s">
        <v>132</v>
      </c>
    </row>
    <row r="25" spans="1:11">
      <c r="A25" s="18" t="s">
        <v>120</v>
      </c>
      <c r="B25" s="18" t="s">
        <v>141</v>
      </c>
      <c r="C25" s="18">
        <v>9000</v>
      </c>
      <c r="D25" s="18"/>
      <c r="K25" t="s">
        <v>133</v>
      </c>
    </row>
    <row r="26" spans="1:11">
      <c r="A26" s="18" t="s">
        <v>121</v>
      </c>
      <c r="B26" s="18" t="s">
        <v>2</v>
      </c>
      <c r="C26" s="18">
        <v>7500</v>
      </c>
      <c r="D26" s="18"/>
      <c r="K26" t="s">
        <v>134</v>
      </c>
    </row>
    <row r="27" spans="1:11">
      <c r="A27" s="18" t="s">
        <v>122</v>
      </c>
      <c r="B27" s="18" t="s">
        <v>141</v>
      </c>
      <c r="C27" s="18">
        <v>8200</v>
      </c>
      <c r="D27" s="18"/>
      <c r="K27" t="s">
        <v>135</v>
      </c>
    </row>
    <row r="28" spans="1:11">
      <c r="A28" s="18" t="s">
        <v>123</v>
      </c>
      <c r="B28" s="18" t="s">
        <v>140</v>
      </c>
      <c r="C28" s="18">
        <v>6800</v>
      </c>
      <c r="D28" s="18"/>
      <c r="K28" t="s">
        <v>136</v>
      </c>
    </row>
    <row r="30" spans="1:11">
      <c r="E30" s="17" t="s">
        <v>137</v>
      </c>
      <c r="F30" s="17" t="s">
        <v>138</v>
      </c>
      <c r="G30" s="17" t="s">
        <v>139</v>
      </c>
    </row>
    <row r="31" spans="1:11">
      <c r="E31" s="21"/>
      <c r="I31" s="20" t="s">
        <v>143</v>
      </c>
      <c r="J31" s="21"/>
      <c r="K31" s="20"/>
    </row>
    <row r="37" spans="5:9">
      <c r="E37" s="17" t="s">
        <v>137</v>
      </c>
    </row>
    <row r="38" spans="5:9">
      <c r="E38" s="23"/>
      <c r="I38" s="22" t="s">
        <v>144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54B8-56EE-4F08-ADCF-BE3EFE1AD86B}">
  <sheetPr codeName="Sheet18">
    <tabColor rgb="FFFCBEF6"/>
  </sheetPr>
  <dimension ref="A1:K20"/>
  <sheetViews>
    <sheetView workbookViewId="0"/>
  </sheetViews>
  <sheetFormatPr defaultRowHeight="14.4"/>
  <cols>
    <col min="1" max="1" width="12.109375" customWidth="1"/>
    <col min="2" max="2" width="11.109375" bestFit="1" customWidth="1"/>
    <col min="5" max="5" width="13.44140625" customWidth="1"/>
    <col min="6" max="6" width="11.109375" bestFit="1" customWidth="1"/>
    <col min="7" max="7" width="7.77734375" bestFit="1" customWidth="1"/>
    <col min="11" max="11" width="53.88671875" bestFit="1" customWidth="1"/>
  </cols>
  <sheetData>
    <row r="1" spans="1:11" ht="14.4" customHeight="1">
      <c r="A1" s="79" t="s">
        <v>137</v>
      </c>
      <c r="B1" s="79" t="s">
        <v>138</v>
      </c>
      <c r="C1" s="79" t="s">
        <v>139</v>
      </c>
      <c r="E1" s="17" t="s">
        <v>137</v>
      </c>
      <c r="F1" s="17" t="s">
        <v>138</v>
      </c>
      <c r="G1" s="17" t="s">
        <v>139</v>
      </c>
    </row>
    <row r="2" spans="1:11">
      <c r="A2" s="12" t="s">
        <v>119</v>
      </c>
      <c r="B2" s="12" t="s">
        <v>140</v>
      </c>
      <c r="C2" s="12">
        <v>5000</v>
      </c>
      <c r="E2" s="4"/>
      <c r="K2" s="6" t="s">
        <v>149</v>
      </c>
    </row>
    <row r="3" spans="1:11">
      <c r="A3" s="12" t="s">
        <v>120</v>
      </c>
      <c r="B3" s="12" t="s">
        <v>141</v>
      </c>
      <c r="C3" s="12">
        <v>9000</v>
      </c>
    </row>
    <row r="4" spans="1:11">
      <c r="A4" s="12" t="s">
        <v>121</v>
      </c>
      <c r="B4" s="12" t="s">
        <v>2</v>
      </c>
      <c r="C4" s="12">
        <v>7500</v>
      </c>
    </row>
    <row r="5" spans="1:11" ht="14.4" customHeight="1">
      <c r="A5" s="12" t="s">
        <v>122</v>
      </c>
      <c r="B5" s="12" t="s">
        <v>141</v>
      </c>
      <c r="C5" s="12">
        <v>8200</v>
      </c>
      <c r="E5" s="17" t="s">
        <v>137</v>
      </c>
      <c r="F5" s="17" t="s">
        <v>138</v>
      </c>
      <c r="G5" s="17" t="s">
        <v>139</v>
      </c>
    </row>
    <row r="6" spans="1:11">
      <c r="A6" s="12" t="s">
        <v>123</v>
      </c>
      <c r="B6" s="12" t="s">
        <v>140</v>
      </c>
      <c r="C6" s="12">
        <v>6800</v>
      </c>
      <c r="E6" s="21"/>
      <c r="K6" s="20" t="s">
        <v>150</v>
      </c>
    </row>
    <row r="7" spans="1:11">
      <c r="A7" s="18"/>
      <c r="B7" s="18"/>
      <c r="C7" s="18"/>
    </row>
    <row r="8" spans="1:11" ht="14.4" customHeight="1">
      <c r="E8" s="17" t="s">
        <v>137</v>
      </c>
      <c r="F8" s="17" t="s">
        <v>138</v>
      </c>
      <c r="G8" s="17" t="s">
        <v>139</v>
      </c>
    </row>
    <row r="9" spans="1:11">
      <c r="E9" s="23"/>
      <c r="K9" s="22" t="s">
        <v>151</v>
      </c>
    </row>
    <row r="13" spans="1:11" ht="14.4" customHeight="1">
      <c r="E13" s="17" t="s">
        <v>137</v>
      </c>
      <c r="F13" s="17" t="s">
        <v>138</v>
      </c>
      <c r="G13" s="17" t="s">
        <v>139</v>
      </c>
    </row>
    <row r="14" spans="1:11">
      <c r="E14" s="26"/>
      <c r="K14" s="25" t="s">
        <v>152</v>
      </c>
    </row>
    <row r="16" spans="1:11" ht="14.4" customHeight="1">
      <c r="E16" s="17" t="s">
        <v>137</v>
      </c>
      <c r="F16" s="17" t="s">
        <v>138</v>
      </c>
      <c r="G16" s="17" t="s">
        <v>139</v>
      </c>
    </row>
    <row r="17" spans="5:11">
      <c r="E17" s="28"/>
      <c r="K17" s="27" t="s">
        <v>153</v>
      </c>
    </row>
    <row r="19" spans="5:11">
      <c r="K19" s="118" t="s">
        <v>459</v>
      </c>
    </row>
    <row r="20" spans="5:11">
      <c r="K20" s="119" t="s">
        <v>460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40F9-4686-414B-87FF-9B294E58F635}">
  <sheetPr codeName="Sheet19">
    <tabColor rgb="FFFCBEF6"/>
  </sheetPr>
  <dimension ref="A1:K17"/>
  <sheetViews>
    <sheetView workbookViewId="0"/>
  </sheetViews>
  <sheetFormatPr defaultRowHeight="14.4"/>
  <cols>
    <col min="1" max="1" width="10.77734375" customWidth="1"/>
    <col min="2" max="2" width="11.109375" bestFit="1" customWidth="1"/>
    <col min="4" max="5" width="11.109375" bestFit="1" customWidth="1"/>
    <col min="6" max="6" width="11.44140625" customWidth="1"/>
    <col min="11" max="11" width="22.6640625" customWidth="1"/>
  </cols>
  <sheetData>
    <row r="1" spans="1:11">
      <c r="A1" s="79" t="s">
        <v>137</v>
      </c>
      <c r="B1" s="79" t="s">
        <v>138</v>
      </c>
      <c r="D1" s="17" t="s">
        <v>138</v>
      </c>
    </row>
    <row r="2" spans="1:11">
      <c r="A2" s="12" t="s">
        <v>119</v>
      </c>
      <c r="B2" s="12" t="s">
        <v>140</v>
      </c>
      <c r="D2" s="4"/>
      <c r="K2" s="6" t="s">
        <v>156</v>
      </c>
    </row>
    <row r="3" spans="1:11">
      <c r="A3" s="12" t="s">
        <v>120</v>
      </c>
      <c r="B3" s="12" t="s">
        <v>141</v>
      </c>
    </row>
    <row r="4" spans="1:11">
      <c r="A4" s="12" t="s">
        <v>121</v>
      </c>
      <c r="B4" s="12" t="s">
        <v>2</v>
      </c>
    </row>
    <row r="5" spans="1:11">
      <c r="A5" s="12" t="s">
        <v>122</v>
      </c>
      <c r="B5" s="12" t="s">
        <v>141</v>
      </c>
    </row>
    <row r="6" spans="1:11">
      <c r="A6" s="12" t="s">
        <v>123</v>
      </c>
      <c r="B6" s="12" t="s">
        <v>140</v>
      </c>
    </row>
    <row r="7" spans="1:11">
      <c r="A7" s="12" t="s">
        <v>154</v>
      </c>
      <c r="B7" s="12" t="s">
        <v>155</v>
      </c>
      <c r="D7" s="17" t="s">
        <v>137</v>
      </c>
      <c r="E7" s="17" t="s">
        <v>138</v>
      </c>
      <c r="K7" s="20" t="s">
        <v>157</v>
      </c>
    </row>
    <row r="8" spans="1:11">
      <c r="A8" s="12" t="s">
        <v>120</v>
      </c>
      <c r="B8" s="12" t="s">
        <v>141</v>
      </c>
      <c r="D8" s="21"/>
    </row>
    <row r="15" spans="1:11">
      <c r="D15" s="17" t="s">
        <v>138</v>
      </c>
      <c r="F15" s="17" t="s">
        <v>137</v>
      </c>
    </row>
    <row r="16" spans="1:11">
      <c r="D16" s="23"/>
      <c r="F16" s="26"/>
      <c r="K16" s="22" t="s">
        <v>158</v>
      </c>
    </row>
    <row r="17" spans="11:11">
      <c r="K17" s="25" t="s">
        <v>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0D1A-4417-41DC-A8CF-0F4E2E13FAF3}">
  <sheetPr codeName="Sheet20">
    <tabColor theme="7" tint="0.79998168889431442"/>
  </sheetPr>
  <dimension ref="A1:N21"/>
  <sheetViews>
    <sheetView workbookViewId="0"/>
  </sheetViews>
  <sheetFormatPr defaultColWidth="8.77734375" defaultRowHeight="14.4"/>
  <cols>
    <col min="1" max="10" width="8.77734375" style="11"/>
    <col min="11" max="11" width="25.6640625" style="11" bestFit="1" customWidth="1"/>
    <col min="12" max="12" width="8.77734375" style="11"/>
    <col min="13" max="13" width="15.44140625" style="11" bestFit="1" customWidth="1"/>
    <col min="14" max="14" width="20.5546875" style="11" customWidth="1"/>
    <col min="15" max="16384" width="8.77734375" style="11"/>
  </cols>
  <sheetData>
    <row r="1" spans="1:14">
      <c r="A1" s="79" t="s">
        <v>2</v>
      </c>
    </row>
    <row r="2" spans="1:14" ht="28.8">
      <c r="A2" s="12">
        <v>100</v>
      </c>
      <c r="D2" s="85"/>
      <c r="F2" s="159" t="s">
        <v>359</v>
      </c>
      <c r="G2" s="159"/>
      <c r="H2" s="159"/>
      <c r="I2" s="159"/>
      <c r="K2" s="86" t="s">
        <v>363</v>
      </c>
      <c r="M2" s="79" t="s">
        <v>371</v>
      </c>
      <c r="N2" s="79" t="s">
        <v>372</v>
      </c>
    </row>
    <row r="3" spans="1:14">
      <c r="A3" s="12">
        <v>200</v>
      </c>
      <c r="F3" s="157" t="s">
        <v>360</v>
      </c>
      <c r="G3" s="157"/>
      <c r="H3" s="157"/>
      <c r="I3" s="157"/>
      <c r="M3" s="93">
        <v>1</v>
      </c>
      <c r="N3" s="12" t="s">
        <v>373</v>
      </c>
    </row>
    <row r="4" spans="1:14">
      <c r="A4" s="12" t="e">
        <f>100/0</f>
        <v>#DIV/0!</v>
      </c>
      <c r="F4" s="158" t="s">
        <v>361</v>
      </c>
      <c r="G4" s="158"/>
      <c r="H4" s="158"/>
      <c r="I4" s="158"/>
      <c r="M4" s="93">
        <v>2</v>
      </c>
      <c r="N4" s="12" t="s">
        <v>374</v>
      </c>
    </row>
    <row r="5" spans="1:14">
      <c r="A5" s="12">
        <v>400</v>
      </c>
      <c r="F5" s="158" t="s">
        <v>362</v>
      </c>
      <c r="G5" s="158"/>
      <c r="H5" s="158"/>
      <c r="I5" s="158"/>
      <c r="M5" s="93">
        <v>3</v>
      </c>
      <c r="N5" s="12" t="s">
        <v>375</v>
      </c>
    </row>
    <row r="6" spans="1:14">
      <c r="A6" s="12">
        <v>500</v>
      </c>
      <c r="M6" s="93">
        <v>4</v>
      </c>
      <c r="N6" s="12" t="s">
        <v>376</v>
      </c>
    </row>
    <row r="7" spans="1:14" ht="18">
      <c r="D7" s="87"/>
      <c r="F7" s="159" t="s">
        <v>365</v>
      </c>
      <c r="G7" s="159"/>
      <c r="H7" s="159"/>
      <c r="I7" s="159"/>
      <c r="K7" s="88" t="s">
        <v>364</v>
      </c>
      <c r="M7" s="93">
        <v>5</v>
      </c>
      <c r="N7" s="12" t="s">
        <v>377</v>
      </c>
    </row>
    <row r="8" spans="1:14">
      <c r="D8" s="121"/>
      <c r="K8" s="120" t="s">
        <v>461</v>
      </c>
      <c r="M8" s="93">
        <v>6</v>
      </c>
      <c r="N8" s="12" t="s">
        <v>378</v>
      </c>
    </row>
    <row r="9" spans="1:14">
      <c r="M9" s="93">
        <v>7</v>
      </c>
      <c r="N9" s="12" t="s">
        <v>379</v>
      </c>
    </row>
    <row r="10" spans="1:14" ht="18">
      <c r="D10" s="89"/>
      <c r="F10" s="156" t="s">
        <v>359</v>
      </c>
      <c r="G10" s="156"/>
      <c r="H10" s="156"/>
      <c r="I10" s="156"/>
      <c r="K10" s="90" t="s">
        <v>366</v>
      </c>
      <c r="M10" s="93">
        <v>8</v>
      </c>
      <c r="N10" s="12" t="s">
        <v>380</v>
      </c>
    </row>
    <row r="11" spans="1:14">
      <c r="F11" s="157" t="s">
        <v>367</v>
      </c>
      <c r="G11" s="157"/>
      <c r="H11" s="157"/>
      <c r="I11" s="157"/>
      <c r="M11" s="93">
        <v>9</v>
      </c>
      <c r="N11" s="12" t="s">
        <v>381</v>
      </c>
    </row>
    <row r="12" spans="1:14">
      <c r="F12" s="157" t="s">
        <v>361</v>
      </c>
      <c r="G12" s="157"/>
      <c r="H12" s="157"/>
      <c r="I12" s="157"/>
      <c r="M12" s="93">
        <v>10</v>
      </c>
      <c r="N12" s="12" t="s">
        <v>382</v>
      </c>
    </row>
    <row r="13" spans="1:14">
      <c r="F13" s="158" t="s">
        <v>362</v>
      </c>
      <c r="G13" s="158"/>
      <c r="H13" s="158"/>
      <c r="I13" s="158"/>
      <c r="M13" s="93">
        <v>11</v>
      </c>
      <c r="N13" s="12" t="s">
        <v>383</v>
      </c>
    </row>
    <row r="14" spans="1:14">
      <c r="F14" s="157" t="s">
        <v>368</v>
      </c>
      <c r="G14" s="157"/>
      <c r="H14" s="157"/>
      <c r="I14" s="157"/>
      <c r="M14" s="93">
        <v>12</v>
      </c>
      <c r="N14" s="12" t="s">
        <v>384</v>
      </c>
    </row>
    <row r="15" spans="1:14">
      <c r="M15" s="93">
        <v>13</v>
      </c>
      <c r="N15" s="12" t="s">
        <v>385</v>
      </c>
    </row>
    <row r="16" spans="1:14" ht="18">
      <c r="D16" s="91"/>
      <c r="F16" s="156" t="s">
        <v>369</v>
      </c>
      <c r="G16" s="156"/>
      <c r="H16" s="156"/>
      <c r="I16" s="156"/>
      <c r="K16" s="92" t="s">
        <v>370</v>
      </c>
      <c r="M16" s="93">
        <v>14</v>
      </c>
      <c r="N16" s="12" t="s">
        <v>386</v>
      </c>
    </row>
    <row r="17" spans="13:14">
      <c r="M17" s="93">
        <v>15</v>
      </c>
      <c r="N17" s="12" t="s">
        <v>387</v>
      </c>
    </row>
    <row r="18" spans="13:14">
      <c r="M18" s="93">
        <v>16</v>
      </c>
      <c r="N18" s="12" t="s">
        <v>388</v>
      </c>
    </row>
    <row r="19" spans="13:14">
      <c r="M19" s="93">
        <v>17</v>
      </c>
      <c r="N19" s="12" t="s">
        <v>389</v>
      </c>
    </row>
    <row r="20" spans="13:14">
      <c r="M20" s="93">
        <v>18</v>
      </c>
      <c r="N20" s="12" t="s">
        <v>390</v>
      </c>
    </row>
    <row r="21" spans="13:14">
      <c r="M21" s="93">
        <v>19</v>
      </c>
      <c r="N21" s="12" t="s">
        <v>391</v>
      </c>
    </row>
  </sheetData>
  <mergeCells count="11">
    <mergeCell ref="F16:I16"/>
    <mergeCell ref="F2:I2"/>
    <mergeCell ref="F11:I11"/>
    <mergeCell ref="F12:I12"/>
    <mergeCell ref="F13:I13"/>
    <mergeCell ref="F14:I14"/>
    <mergeCell ref="F10:I10"/>
    <mergeCell ref="F3:I3"/>
    <mergeCell ref="F4:I4"/>
    <mergeCell ref="F5:I5"/>
    <mergeCell ref="F7:I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0F84-BC0D-4FFF-8F81-E85A90C22594}">
  <sheetPr codeName="Sheet21">
    <tabColor theme="7" tint="0.79998168889431442"/>
  </sheetPr>
  <dimension ref="A1:L24"/>
  <sheetViews>
    <sheetView workbookViewId="0"/>
  </sheetViews>
  <sheetFormatPr defaultRowHeight="14.4"/>
  <cols>
    <col min="1" max="1" width="10.109375" bestFit="1" customWidth="1"/>
    <col min="2" max="2" width="29.33203125" customWidth="1"/>
    <col min="3" max="3" width="17.88671875" customWidth="1"/>
    <col min="4" max="4" width="3.109375" customWidth="1"/>
    <col min="12" max="12" width="27.109375" customWidth="1"/>
  </cols>
  <sheetData>
    <row r="1" spans="1:12">
      <c r="A1" s="79" t="s">
        <v>179</v>
      </c>
      <c r="B1" s="79" t="s">
        <v>139</v>
      </c>
    </row>
    <row r="2" spans="1:12">
      <c r="A2" s="12">
        <v>2018</v>
      </c>
      <c r="B2" s="12">
        <v>5000</v>
      </c>
      <c r="E2" s="142" t="s">
        <v>393</v>
      </c>
      <c r="F2" s="142"/>
      <c r="G2" s="142"/>
      <c r="H2" s="142"/>
      <c r="I2" s="142"/>
      <c r="J2" s="142"/>
      <c r="L2" s="6" t="s">
        <v>392</v>
      </c>
    </row>
    <row r="3" spans="1:12">
      <c r="A3" s="12">
        <v>2019</v>
      </c>
      <c r="B3" s="12">
        <v>7000</v>
      </c>
      <c r="E3" s="142"/>
      <c r="F3" s="142"/>
      <c r="G3" s="142"/>
      <c r="H3" s="142"/>
      <c r="I3" s="142"/>
      <c r="J3" s="142"/>
    </row>
    <row r="4" spans="1:12">
      <c r="A4" s="12">
        <v>2020</v>
      </c>
      <c r="B4" s="12">
        <v>9000</v>
      </c>
    </row>
    <row r="5" spans="1:12" ht="14.55" customHeight="1">
      <c r="A5" s="12">
        <v>2021</v>
      </c>
      <c r="B5" s="12">
        <v>11000</v>
      </c>
      <c r="E5" s="142" t="s">
        <v>394</v>
      </c>
      <c r="F5" s="142"/>
      <c r="G5" s="142"/>
      <c r="H5" s="142"/>
      <c r="I5" s="142"/>
      <c r="J5" s="142"/>
    </row>
    <row r="6" spans="1:12">
      <c r="A6" s="12">
        <v>2022</v>
      </c>
      <c r="B6" s="12">
        <v>13000</v>
      </c>
      <c r="E6" s="142"/>
      <c r="F6" s="142"/>
      <c r="G6" s="142"/>
      <c r="H6" s="142"/>
      <c r="I6" s="142"/>
      <c r="J6" s="142"/>
    </row>
    <row r="7" spans="1:12">
      <c r="A7" s="12">
        <v>2023</v>
      </c>
      <c r="B7" s="94"/>
      <c r="E7" s="142"/>
      <c r="F7" s="142"/>
      <c r="G7" s="142"/>
      <c r="H7" s="142"/>
      <c r="I7" s="142"/>
      <c r="J7" s="142"/>
    </row>
    <row r="8" spans="1:12">
      <c r="A8" s="12">
        <v>2024</v>
      </c>
      <c r="B8" s="12"/>
    </row>
    <row r="10" spans="1:12">
      <c r="A10" s="79" t="s">
        <v>395</v>
      </c>
      <c r="B10" s="79" t="s">
        <v>396</v>
      </c>
      <c r="L10" s="20" t="s">
        <v>397</v>
      </c>
    </row>
    <row r="11" spans="1:12">
      <c r="A11" s="95">
        <v>45658</v>
      </c>
      <c r="B11" s="12">
        <v>50</v>
      </c>
      <c r="E11" s="142" t="s">
        <v>398</v>
      </c>
      <c r="F11" s="142"/>
      <c r="G11" s="142"/>
      <c r="H11" s="142"/>
      <c r="I11" s="142"/>
      <c r="J11" s="142"/>
    </row>
    <row r="12" spans="1:12">
      <c r="A12" s="95">
        <v>45689</v>
      </c>
      <c r="B12" s="12">
        <v>55</v>
      </c>
      <c r="E12" s="142"/>
      <c r="F12" s="142"/>
      <c r="G12" s="142"/>
      <c r="H12" s="142"/>
      <c r="I12" s="142"/>
      <c r="J12" s="142"/>
    </row>
    <row r="13" spans="1:12">
      <c r="A13" s="95">
        <v>45717</v>
      </c>
      <c r="B13" s="12">
        <v>60</v>
      </c>
    </row>
    <row r="14" spans="1:12">
      <c r="A14" s="95">
        <v>45748</v>
      </c>
      <c r="B14" s="12">
        <v>65</v>
      </c>
      <c r="E14" s="142" t="s">
        <v>399</v>
      </c>
      <c r="F14" s="142"/>
      <c r="G14" s="142"/>
      <c r="H14" s="142"/>
      <c r="I14" s="142"/>
      <c r="J14" s="142"/>
    </row>
    <row r="15" spans="1:12">
      <c r="A15" s="95">
        <v>45778</v>
      </c>
      <c r="B15" s="12">
        <v>70</v>
      </c>
      <c r="E15" s="142"/>
      <c r="F15" s="142"/>
      <c r="G15" s="142"/>
      <c r="H15" s="142"/>
      <c r="I15" s="142"/>
      <c r="J15" s="142"/>
    </row>
    <row r="16" spans="1:12">
      <c r="A16" s="95">
        <v>45809</v>
      </c>
      <c r="B16" s="96"/>
    </row>
    <row r="18" spans="1:12">
      <c r="A18" s="79" t="s">
        <v>395</v>
      </c>
      <c r="B18" s="79" t="s">
        <v>396</v>
      </c>
      <c r="C18" s="79" t="s">
        <v>400</v>
      </c>
    </row>
    <row r="19" spans="1:12">
      <c r="A19" s="95">
        <v>45658</v>
      </c>
      <c r="B19" s="12">
        <v>50</v>
      </c>
      <c r="C19" s="98"/>
      <c r="E19" s="160" t="s">
        <v>401</v>
      </c>
      <c r="F19" s="160"/>
      <c r="G19" s="160"/>
      <c r="H19" s="160"/>
      <c r="I19" s="160"/>
      <c r="J19" s="160"/>
      <c r="L19" s="22" t="s">
        <v>403</v>
      </c>
    </row>
    <row r="20" spans="1:12">
      <c r="A20" s="95">
        <v>45689</v>
      </c>
      <c r="B20" s="12">
        <v>50</v>
      </c>
      <c r="C20" s="97"/>
      <c r="E20" s="160"/>
      <c r="F20" s="160"/>
      <c r="G20" s="160"/>
      <c r="H20" s="160"/>
      <c r="I20" s="160"/>
      <c r="J20" s="160"/>
    </row>
    <row r="21" spans="1:12">
      <c r="A21" s="95">
        <v>45717</v>
      </c>
      <c r="B21" s="12">
        <v>60</v>
      </c>
      <c r="C21" s="97"/>
    </row>
    <row r="22" spans="1:12">
      <c r="A22" s="95">
        <v>45748</v>
      </c>
      <c r="B22" s="12">
        <v>65</v>
      </c>
      <c r="C22" s="97"/>
      <c r="E22" s="142" t="s">
        <v>402</v>
      </c>
      <c r="F22" s="142"/>
      <c r="G22" s="142"/>
      <c r="H22" s="142"/>
      <c r="I22" s="142"/>
      <c r="J22" s="142"/>
    </row>
    <row r="23" spans="1:12">
      <c r="A23" s="95">
        <v>45778</v>
      </c>
      <c r="B23" s="12">
        <v>71</v>
      </c>
      <c r="C23" s="97"/>
      <c r="E23" s="142"/>
      <c r="F23" s="142"/>
      <c r="G23" s="142"/>
      <c r="H23" s="142"/>
      <c r="I23" s="142"/>
      <c r="J23" s="142"/>
    </row>
    <row r="24" spans="1:12">
      <c r="A24" s="95">
        <v>45809</v>
      </c>
      <c r="B24" s="12">
        <v>75</v>
      </c>
      <c r="C24" s="97"/>
    </row>
  </sheetData>
  <mergeCells count="6">
    <mergeCell ref="E22:J23"/>
    <mergeCell ref="E2:J3"/>
    <mergeCell ref="E5:J7"/>
    <mergeCell ref="E11:J12"/>
    <mergeCell ref="E14:J15"/>
    <mergeCell ref="E19:J2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085B-B1FA-4331-B906-567F5235B560}">
  <sheetPr codeName="Sheet22">
    <tabColor rgb="FFFCBEF6"/>
  </sheetPr>
  <dimension ref="A1:K14"/>
  <sheetViews>
    <sheetView workbookViewId="0"/>
  </sheetViews>
  <sheetFormatPr defaultRowHeight="14.4"/>
  <cols>
    <col min="8" max="8" width="10.109375" bestFit="1" customWidth="1"/>
    <col min="11" max="11" width="31.109375" customWidth="1"/>
  </cols>
  <sheetData>
    <row r="1" spans="1:11">
      <c r="A1" s="116" t="s">
        <v>163</v>
      </c>
    </row>
    <row r="2" spans="1:11">
      <c r="A2" s="4"/>
      <c r="C2" s="29" t="s">
        <v>163</v>
      </c>
      <c r="D2" s="21"/>
      <c r="K2" s="6" t="s">
        <v>160</v>
      </c>
    </row>
    <row r="3" spans="1:11">
      <c r="K3" s="20" t="s">
        <v>161</v>
      </c>
    </row>
    <row r="4" spans="1:11">
      <c r="C4" s="29" t="s">
        <v>163</v>
      </c>
      <c r="D4" s="23"/>
      <c r="H4" s="29" t="s">
        <v>162</v>
      </c>
      <c r="K4" s="22" t="s">
        <v>165</v>
      </c>
    </row>
    <row r="5" spans="1:11">
      <c r="H5" s="31"/>
      <c r="K5" s="25" t="s">
        <v>166</v>
      </c>
    </row>
    <row r="6" spans="1:11">
      <c r="H6" s="30"/>
    </row>
    <row r="7" spans="1:11">
      <c r="H7" s="30"/>
    </row>
    <row r="8" spans="1:11">
      <c r="H8" s="30"/>
    </row>
    <row r="9" spans="1:11">
      <c r="C9" s="29" t="s">
        <v>163</v>
      </c>
      <c r="H9" s="30"/>
    </row>
    <row r="10" spans="1:11">
      <c r="C10" s="28"/>
      <c r="H10" s="30"/>
      <c r="K10" s="27" t="s">
        <v>164</v>
      </c>
    </row>
    <row r="11" spans="1:11">
      <c r="H11" s="30"/>
    </row>
    <row r="12" spans="1:11">
      <c r="H12" s="30"/>
    </row>
    <row r="13" spans="1:11">
      <c r="H13" s="30"/>
    </row>
    <row r="14" spans="1:11">
      <c r="H14" s="3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9CEC-4DBA-4D59-B64D-4AF3D095B84B}">
  <sheetPr codeName="Sheet23">
    <tabColor rgb="FFFCBEF6"/>
  </sheetPr>
  <dimension ref="A1:K7"/>
  <sheetViews>
    <sheetView workbookViewId="0"/>
  </sheetViews>
  <sheetFormatPr defaultRowHeight="14.4"/>
  <cols>
    <col min="11" max="11" width="34.21875" bestFit="1" customWidth="1"/>
  </cols>
  <sheetData>
    <row r="1" spans="1:11">
      <c r="A1" s="4"/>
      <c r="K1" s="6" t="s">
        <v>167</v>
      </c>
    </row>
    <row r="4" spans="1:11">
      <c r="G4" s="116" t="s">
        <v>170</v>
      </c>
    </row>
    <row r="5" spans="1:11">
      <c r="A5" s="21"/>
      <c r="D5" s="23"/>
      <c r="G5" s="28"/>
      <c r="K5" s="20" t="s">
        <v>168</v>
      </c>
    </row>
    <row r="6" spans="1:11">
      <c r="K6" s="22" t="s">
        <v>169</v>
      </c>
    </row>
    <row r="7" spans="1:11">
      <c r="K7" s="27" t="s">
        <v>171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C08B-7F8F-4000-AC6D-4B753E290B7A}">
  <sheetPr codeName="Sheet24">
    <tabColor rgb="FFFCBEF6"/>
  </sheetPr>
  <dimension ref="A1:K15"/>
  <sheetViews>
    <sheetView workbookViewId="0"/>
  </sheetViews>
  <sheetFormatPr defaultRowHeight="14.4"/>
  <cols>
    <col min="11" max="11" width="68.5546875" bestFit="1" customWidth="1"/>
  </cols>
  <sheetData>
    <row r="1" spans="1:11">
      <c r="B1" s="14" t="s">
        <v>264</v>
      </c>
      <c r="C1" s="14" t="s">
        <v>265</v>
      </c>
      <c r="D1" s="14" t="s">
        <v>266</v>
      </c>
      <c r="E1" s="14" t="s">
        <v>267</v>
      </c>
    </row>
    <row r="2" spans="1:11">
      <c r="A2" s="14" t="s">
        <v>261</v>
      </c>
      <c r="B2" s="4"/>
      <c r="K2" s="6" t="s">
        <v>268</v>
      </c>
    </row>
    <row r="3" spans="1:11">
      <c r="A3" s="14" t="s">
        <v>262</v>
      </c>
      <c r="K3" s="72" t="s">
        <v>269</v>
      </c>
    </row>
    <row r="4" spans="1:11">
      <c r="A4" s="14" t="s">
        <v>263</v>
      </c>
    </row>
    <row r="6" spans="1:11">
      <c r="B6" s="14" t="s">
        <v>264</v>
      </c>
      <c r="C6" s="14" t="s">
        <v>265</v>
      </c>
      <c r="D6" s="14" t="s">
        <v>266</v>
      </c>
      <c r="E6" s="14" t="s">
        <v>267</v>
      </c>
      <c r="F6" s="14" t="s">
        <v>270</v>
      </c>
    </row>
    <row r="7" spans="1:11">
      <c r="A7" s="14" t="s">
        <v>261</v>
      </c>
      <c r="B7" s="21"/>
      <c r="K7" s="20" t="s">
        <v>271</v>
      </c>
    </row>
    <row r="8" spans="1:11">
      <c r="A8" s="14" t="s">
        <v>262</v>
      </c>
      <c r="K8" s="14" t="s">
        <v>272</v>
      </c>
    </row>
    <row r="9" spans="1:11">
      <c r="A9" s="14" t="s">
        <v>263</v>
      </c>
    </row>
    <row r="11" spans="1:11">
      <c r="B11" s="14" t="s">
        <v>264</v>
      </c>
      <c r="C11" s="14" t="s">
        <v>265</v>
      </c>
      <c r="D11" s="14" t="s">
        <v>266</v>
      </c>
      <c r="E11" s="14" t="s">
        <v>267</v>
      </c>
    </row>
    <row r="12" spans="1:11">
      <c r="A12" s="14" t="s">
        <v>261</v>
      </c>
      <c r="B12" s="23"/>
      <c r="K12" s="22" t="s">
        <v>275</v>
      </c>
    </row>
    <row r="13" spans="1:11">
      <c r="A13" s="14" t="s">
        <v>262</v>
      </c>
      <c r="K13" s="14" t="s">
        <v>273</v>
      </c>
    </row>
    <row r="14" spans="1:11">
      <c r="A14" s="14" t="s">
        <v>263</v>
      </c>
    </row>
    <row r="15" spans="1:11">
      <c r="A15" s="14" t="s">
        <v>274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DF41-4F67-49AA-B974-366A3D4394BA}">
  <sheetPr codeName="Sheet25">
    <tabColor rgb="FFFCBEF6"/>
  </sheetPr>
  <dimension ref="A1:T313"/>
  <sheetViews>
    <sheetView zoomScale="90" zoomScaleNormal="90" workbookViewId="0"/>
  </sheetViews>
  <sheetFormatPr defaultRowHeight="14.4"/>
  <cols>
    <col min="1" max="1" width="13.5546875" customWidth="1"/>
    <col min="2" max="2" width="10" customWidth="1"/>
    <col min="3" max="3" width="18.21875" customWidth="1"/>
    <col min="4" max="4" width="14.77734375" customWidth="1"/>
    <col min="5" max="5" width="8.77734375" customWidth="1"/>
    <col min="6" max="6" width="6.6640625" customWidth="1"/>
    <col min="7" max="7" width="4.88671875" customWidth="1"/>
    <col min="8" max="8" width="11.88671875" customWidth="1"/>
    <col min="9" max="9" width="18.21875" bestFit="1" customWidth="1"/>
    <col min="10" max="10" width="10.33203125" bestFit="1" customWidth="1"/>
    <col min="11" max="11" width="1.77734375" customWidth="1"/>
    <col min="12" max="12" width="6.33203125" customWidth="1"/>
    <col min="13" max="13" width="19.88671875" customWidth="1"/>
    <col min="16" max="16" width="11" customWidth="1"/>
    <col min="17" max="17" width="10.6640625" customWidth="1"/>
  </cols>
  <sheetData>
    <row r="1" spans="1:20">
      <c r="A1" s="117" t="s">
        <v>172</v>
      </c>
      <c r="B1" s="117" t="s">
        <v>173</v>
      </c>
      <c r="C1" s="117" t="s">
        <v>174</v>
      </c>
      <c r="D1" s="117" t="s">
        <v>96</v>
      </c>
      <c r="E1" s="117" t="s">
        <v>2</v>
      </c>
      <c r="H1" s="14" t="s">
        <v>175</v>
      </c>
      <c r="I1" s="14"/>
    </row>
    <row r="2" spans="1:20" ht="15" thickBot="1">
      <c r="A2" s="33">
        <v>44564</v>
      </c>
      <c r="B2" s="34" t="s">
        <v>176</v>
      </c>
      <c r="C2" s="34" t="s">
        <v>177</v>
      </c>
      <c r="D2" s="34" t="s">
        <v>178</v>
      </c>
      <c r="E2" s="35">
        <v>6750</v>
      </c>
      <c r="H2" s="36" t="s">
        <v>179</v>
      </c>
      <c r="I2" s="37" t="s">
        <v>180</v>
      </c>
      <c r="J2" s="38" t="s">
        <v>181</v>
      </c>
      <c r="M2" s="21" t="str" cm="1">
        <f t="array" ref="M2:Q9">_xlfn.PIVOTBY(C2:C313,YEAR(A2:A313),E2:E313,_xleta.SUM,,,,,,C2:C313&lt;&gt;"")</f>
        <v/>
      </c>
      <c r="N2" s="32">
        <v>2022</v>
      </c>
      <c r="O2" s="32">
        <v>2023</v>
      </c>
      <c r="P2" s="32">
        <v>2024</v>
      </c>
      <c r="Q2" s="39" t="str">
        <v>Total</v>
      </c>
    </row>
    <row r="3" spans="1:20">
      <c r="A3" s="41">
        <v>44578</v>
      </c>
      <c r="B3" s="42" t="s">
        <v>182</v>
      </c>
      <c r="C3" s="42" t="s">
        <v>183</v>
      </c>
      <c r="D3" s="42" t="s">
        <v>184</v>
      </c>
      <c r="E3" s="43">
        <v>3840</v>
      </c>
      <c r="H3" s="24" cm="1">
        <f t="array" ref="H3:J24">_xlfn.GROUPBY(_xlfn.HSTACK(YEAR(A2:A313),C2:C313),E2:E313,_xleta.SUM,,2,-1,LEFT(A2:A313,5)&lt;&gt;"Total")</f>
        <v>2024</v>
      </c>
      <c r="I3" s="40" t="str">
        <v>Christopher Moltisanti</v>
      </c>
      <c r="J3" s="40">
        <v>28660</v>
      </c>
      <c r="M3" t="str">
        <v>Christopher Moltisanti</v>
      </c>
      <c r="N3" s="40">
        <v>79240</v>
      </c>
      <c r="O3" s="40">
        <v>94650</v>
      </c>
      <c r="P3" s="40">
        <v>28660</v>
      </c>
      <c r="Q3" s="40">
        <v>202550</v>
      </c>
    </row>
    <row r="4" spans="1:20">
      <c r="A4" s="41">
        <v>44580</v>
      </c>
      <c r="B4" s="42" t="s">
        <v>182</v>
      </c>
      <c r="C4" s="42" t="s">
        <v>185</v>
      </c>
      <c r="D4" s="42" t="s">
        <v>186</v>
      </c>
      <c r="E4" s="43">
        <v>430</v>
      </c>
      <c r="H4">
        <v>2024</v>
      </c>
      <c r="I4" s="40" t="str">
        <v>Jesse Pinkman</v>
      </c>
      <c r="J4" s="40">
        <v>34460</v>
      </c>
      <c r="M4" t="str">
        <v>Jesse Pinkman</v>
      </c>
      <c r="N4" s="40">
        <v>103610</v>
      </c>
      <c r="O4" s="40">
        <v>163320</v>
      </c>
      <c r="P4" s="40">
        <v>34460</v>
      </c>
      <c r="Q4" s="40">
        <v>301390</v>
      </c>
    </row>
    <row r="5" spans="1:20">
      <c r="A5" s="41">
        <v>44581</v>
      </c>
      <c r="B5" s="42" t="s">
        <v>176</v>
      </c>
      <c r="C5" s="42" t="s">
        <v>187</v>
      </c>
      <c r="D5" s="42" t="s">
        <v>178</v>
      </c>
      <c r="E5" s="43">
        <v>5500</v>
      </c>
      <c r="H5">
        <v>2024</v>
      </c>
      <c r="I5" s="40" t="str">
        <v>Mike Delfino</v>
      </c>
      <c r="J5" s="40">
        <v>16600</v>
      </c>
      <c r="M5" t="str">
        <v>Mike Delfino</v>
      </c>
      <c r="N5" s="40">
        <v>59200</v>
      </c>
      <c r="O5" s="40">
        <v>111830</v>
      </c>
      <c r="P5" s="40">
        <v>16600</v>
      </c>
      <c r="Q5" s="40">
        <v>187630</v>
      </c>
    </row>
    <row r="6" spans="1:20">
      <c r="A6" s="41">
        <v>44582</v>
      </c>
      <c r="B6" s="42" t="s">
        <v>188</v>
      </c>
      <c r="C6" s="42" t="s">
        <v>189</v>
      </c>
      <c r="D6" s="42" t="s">
        <v>190</v>
      </c>
      <c r="E6" s="43">
        <v>6550</v>
      </c>
      <c r="H6">
        <v>2024</v>
      </c>
      <c r="I6" t="str">
        <v>Miriam Maisel</v>
      </c>
      <c r="J6" s="40">
        <v>21870</v>
      </c>
      <c r="M6" t="str">
        <v>Miriam Maisel</v>
      </c>
      <c r="N6" s="40">
        <v>93360</v>
      </c>
      <c r="O6" s="40">
        <v>159120</v>
      </c>
      <c r="P6" s="40">
        <v>21870</v>
      </c>
      <c r="Q6" s="40">
        <v>274350</v>
      </c>
    </row>
    <row r="7" spans="1:20">
      <c r="A7" s="41">
        <v>44584</v>
      </c>
      <c r="B7" s="42" t="s">
        <v>176</v>
      </c>
      <c r="C7" s="42" t="s">
        <v>187</v>
      </c>
      <c r="D7" s="42" t="s">
        <v>191</v>
      </c>
      <c r="E7" s="43">
        <v>6200</v>
      </c>
      <c r="H7">
        <v>2024</v>
      </c>
      <c r="I7" t="str">
        <v>Rachel Green</v>
      </c>
      <c r="J7" s="40">
        <v>41460</v>
      </c>
      <c r="M7" t="str">
        <v>Rachel Green</v>
      </c>
      <c r="N7" s="40">
        <v>76250</v>
      </c>
      <c r="O7" s="40">
        <v>127890</v>
      </c>
      <c r="P7" s="40">
        <v>41460</v>
      </c>
      <c r="Q7" s="40">
        <v>245600</v>
      </c>
    </row>
    <row r="8" spans="1:20">
      <c r="A8" s="41">
        <v>44584</v>
      </c>
      <c r="B8" s="42" t="s">
        <v>182</v>
      </c>
      <c r="C8" s="42" t="s">
        <v>183</v>
      </c>
      <c r="D8" s="42" t="s">
        <v>184</v>
      </c>
      <c r="E8" s="43">
        <v>5690</v>
      </c>
      <c r="H8">
        <v>2024</v>
      </c>
      <c r="I8" t="str">
        <v>Walter White</v>
      </c>
      <c r="J8" s="40">
        <v>24570</v>
      </c>
      <c r="M8" t="str">
        <v>Walter White</v>
      </c>
      <c r="N8" s="40">
        <v>116070</v>
      </c>
      <c r="O8" s="40">
        <v>97690</v>
      </c>
      <c r="P8" s="40">
        <v>24570</v>
      </c>
      <c r="Q8" s="40">
        <v>238330</v>
      </c>
    </row>
    <row r="9" spans="1:20">
      <c r="A9" s="41">
        <v>44588</v>
      </c>
      <c r="B9" s="42" t="s">
        <v>188</v>
      </c>
      <c r="C9" s="42" t="s">
        <v>192</v>
      </c>
      <c r="D9" s="42" t="s">
        <v>193</v>
      </c>
      <c r="E9" s="43">
        <v>9360</v>
      </c>
      <c r="H9">
        <v>2024</v>
      </c>
      <c r="I9" t="str">
        <v/>
      </c>
      <c r="J9" s="40">
        <v>167620</v>
      </c>
      <c r="M9" t="str">
        <v>Total</v>
      </c>
      <c r="N9" s="40">
        <v>527730</v>
      </c>
      <c r="O9" s="40">
        <v>754500</v>
      </c>
      <c r="P9" s="40">
        <v>167620</v>
      </c>
      <c r="Q9" s="40">
        <v>1449850</v>
      </c>
    </row>
    <row r="10" spans="1:20">
      <c r="A10" s="41">
        <v>44591</v>
      </c>
      <c r="B10" s="42" t="s">
        <v>182</v>
      </c>
      <c r="C10" s="42" t="s">
        <v>183</v>
      </c>
      <c r="D10" s="42" t="s">
        <v>186</v>
      </c>
      <c r="E10" s="43">
        <v>8770</v>
      </c>
      <c r="H10">
        <v>2023</v>
      </c>
      <c r="I10" t="str">
        <v>Christopher Moltisanti</v>
      </c>
      <c r="J10" s="40">
        <v>94650</v>
      </c>
    </row>
    <row r="11" spans="1:20">
      <c r="A11" s="41">
        <v>44594</v>
      </c>
      <c r="B11" s="42" t="s">
        <v>188</v>
      </c>
      <c r="C11" s="42" t="s">
        <v>192</v>
      </c>
      <c r="D11" s="42" t="s">
        <v>194</v>
      </c>
      <c r="E11" s="43">
        <v>1110</v>
      </c>
      <c r="H11">
        <v>2023</v>
      </c>
      <c r="I11" t="str">
        <v>Jesse Pinkman</v>
      </c>
      <c r="J11" s="40">
        <v>163320</v>
      </c>
    </row>
    <row r="12" spans="1:20">
      <c r="A12" s="41">
        <v>44597</v>
      </c>
      <c r="B12" s="42" t="s">
        <v>182</v>
      </c>
      <c r="C12" s="42" t="s">
        <v>185</v>
      </c>
      <c r="D12" s="42" t="s">
        <v>195</v>
      </c>
      <c r="E12" s="43">
        <v>7340</v>
      </c>
      <c r="H12">
        <v>2023</v>
      </c>
      <c r="I12" t="str">
        <v>Mike Delfino</v>
      </c>
      <c r="J12" s="40">
        <v>111830</v>
      </c>
    </row>
    <row r="13" spans="1:20">
      <c r="A13" s="41">
        <v>44597</v>
      </c>
      <c r="B13" s="42" t="s">
        <v>188</v>
      </c>
      <c r="C13" s="42" t="s">
        <v>192</v>
      </c>
      <c r="D13" s="42" t="s">
        <v>190</v>
      </c>
      <c r="E13" s="43">
        <v>9790</v>
      </c>
      <c r="H13">
        <v>2023</v>
      </c>
      <c r="I13" t="str">
        <v>Miriam Maisel</v>
      </c>
      <c r="J13" s="40">
        <v>159120</v>
      </c>
      <c r="M13" s="138" t="s">
        <v>196</v>
      </c>
      <c r="N13" s="138"/>
      <c r="O13" s="138"/>
      <c r="P13" s="138"/>
      <c r="Q13" s="138"/>
      <c r="R13" s="138"/>
      <c r="S13" s="138"/>
      <c r="T13" s="138"/>
    </row>
    <row r="14" spans="1:20">
      <c r="A14" s="41">
        <v>44605</v>
      </c>
      <c r="B14" s="42" t="s">
        <v>188</v>
      </c>
      <c r="C14" s="42" t="s">
        <v>192</v>
      </c>
      <c r="D14" s="42" t="s">
        <v>197</v>
      </c>
      <c r="E14" s="43">
        <v>2020</v>
      </c>
      <c r="H14">
        <v>2023</v>
      </c>
      <c r="I14" t="str">
        <v>Rachel Green</v>
      </c>
      <c r="J14" s="40">
        <v>127890</v>
      </c>
      <c r="M14" t="s">
        <v>225</v>
      </c>
    </row>
    <row r="15" spans="1:20">
      <c r="A15" s="41">
        <v>44608</v>
      </c>
      <c r="B15" s="42" t="s">
        <v>188</v>
      </c>
      <c r="C15" s="42" t="s">
        <v>189</v>
      </c>
      <c r="D15" s="42" t="s">
        <v>190</v>
      </c>
      <c r="E15" s="43">
        <v>1040</v>
      </c>
      <c r="H15">
        <v>2023</v>
      </c>
      <c r="I15" t="str">
        <v>Walter White</v>
      </c>
      <c r="J15" s="40">
        <v>97690</v>
      </c>
    </row>
    <row r="16" spans="1:20">
      <c r="A16" s="41">
        <v>44608</v>
      </c>
      <c r="B16" s="42" t="s">
        <v>182</v>
      </c>
      <c r="C16" s="42" t="s">
        <v>185</v>
      </c>
      <c r="D16" s="42" t="s">
        <v>199</v>
      </c>
      <c r="E16" s="43">
        <v>4850</v>
      </c>
      <c r="H16">
        <v>2023</v>
      </c>
      <c r="I16" t="str">
        <v/>
      </c>
      <c r="J16" s="40">
        <v>754500</v>
      </c>
    </row>
    <row r="17" spans="1:20">
      <c r="A17" s="41">
        <v>44621</v>
      </c>
      <c r="B17" s="42" t="s">
        <v>176</v>
      </c>
      <c r="C17" s="42" t="s">
        <v>177</v>
      </c>
      <c r="D17" s="42" t="s">
        <v>178</v>
      </c>
      <c r="E17" s="43">
        <v>6320</v>
      </c>
      <c r="H17">
        <v>2022</v>
      </c>
      <c r="I17" t="str">
        <v>Christopher Moltisanti</v>
      </c>
      <c r="J17" s="40">
        <v>79240</v>
      </c>
    </row>
    <row r="18" spans="1:20">
      <c r="A18" s="41">
        <v>44628</v>
      </c>
      <c r="B18" s="42" t="s">
        <v>188</v>
      </c>
      <c r="C18" s="42" t="s">
        <v>192</v>
      </c>
      <c r="D18" s="42" t="s">
        <v>194</v>
      </c>
      <c r="E18" s="43">
        <v>6600</v>
      </c>
      <c r="H18">
        <v>2022</v>
      </c>
      <c r="I18" t="str">
        <v>Jesse Pinkman</v>
      </c>
      <c r="J18" s="40">
        <v>103610</v>
      </c>
    </row>
    <row r="19" spans="1:20">
      <c r="A19" s="41">
        <v>44634</v>
      </c>
      <c r="B19" s="42" t="s">
        <v>176</v>
      </c>
      <c r="C19" s="42" t="s">
        <v>177</v>
      </c>
      <c r="D19" s="42" t="s">
        <v>200</v>
      </c>
      <c r="E19" s="43">
        <v>2940</v>
      </c>
      <c r="H19">
        <v>2022</v>
      </c>
      <c r="I19" t="str">
        <v>Mike Delfino</v>
      </c>
      <c r="J19" s="40">
        <v>59200</v>
      </c>
    </row>
    <row r="20" spans="1:20">
      <c r="A20" s="41">
        <v>44635</v>
      </c>
      <c r="B20" s="42" t="s">
        <v>188</v>
      </c>
      <c r="C20" s="42" t="s">
        <v>189</v>
      </c>
      <c r="D20" s="42" t="s">
        <v>197</v>
      </c>
      <c r="E20" s="43">
        <v>7810</v>
      </c>
      <c r="H20">
        <v>2022</v>
      </c>
      <c r="I20" t="str">
        <v>Miriam Maisel</v>
      </c>
      <c r="J20" s="40">
        <v>93360</v>
      </c>
      <c r="M20" s="139" t="s">
        <v>198</v>
      </c>
      <c r="N20" s="139"/>
      <c r="O20" s="139"/>
      <c r="P20" s="139"/>
      <c r="Q20" s="139"/>
      <c r="R20" s="139"/>
      <c r="S20" s="139"/>
      <c r="T20" s="139"/>
    </row>
    <row r="21" spans="1:20">
      <c r="A21" s="41">
        <v>44638</v>
      </c>
      <c r="B21" s="42" t="s">
        <v>188</v>
      </c>
      <c r="C21" s="42" t="s">
        <v>189</v>
      </c>
      <c r="D21" s="42" t="s">
        <v>201</v>
      </c>
      <c r="E21" s="43">
        <v>8710</v>
      </c>
      <c r="H21">
        <v>2022</v>
      </c>
      <c r="I21" t="str">
        <v>Rachel Green</v>
      </c>
      <c r="J21" s="40">
        <v>76250</v>
      </c>
      <c r="P21" s="1" t="s">
        <v>224</v>
      </c>
    </row>
    <row r="22" spans="1:20">
      <c r="A22" s="41">
        <v>44638</v>
      </c>
      <c r="B22" s="42" t="s">
        <v>182</v>
      </c>
      <c r="C22" s="42" t="s">
        <v>183</v>
      </c>
      <c r="D22" s="42" t="s">
        <v>199</v>
      </c>
      <c r="E22" s="43">
        <v>6330</v>
      </c>
      <c r="H22">
        <v>2022</v>
      </c>
      <c r="I22" t="str">
        <v>Walter White</v>
      </c>
      <c r="J22" s="40">
        <v>116070</v>
      </c>
    </row>
    <row r="23" spans="1:20">
      <c r="A23" s="41">
        <v>44645</v>
      </c>
      <c r="B23" s="42" t="s">
        <v>176</v>
      </c>
      <c r="C23" s="42" t="s">
        <v>187</v>
      </c>
      <c r="D23" s="42" t="s">
        <v>191</v>
      </c>
      <c r="E23" s="43">
        <v>2950</v>
      </c>
      <c r="H23">
        <v>2022</v>
      </c>
      <c r="I23" t="str">
        <v/>
      </c>
      <c r="J23" s="40">
        <v>527730</v>
      </c>
    </row>
    <row r="24" spans="1:20">
      <c r="A24" s="41">
        <v>44648</v>
      </c>
      <c r="B24" s="42" t="s">
        <v>188</v>
      </c>
      <c r="C24" s="42" t="s">
        <v>192</v>
      </c>
      <c r="D24" s="42" t="s">
        <v>201</v>
      </c>
      <c r="E24" s="43">
        <v>8640</v>
      </c>
      <c r="H24" t="str">
        <v>Grand Total</v>
      </c>
      <c r="I24" t="str">
        <v/>
      </c>
      <c r="J24" s="40">
        <v>1449850</v>
      </c>
    </row>
    <row r="25" spans="1:20">
      <c r="A25" s="41">
        <v>44649</v>
      </c>
      <c r="B25" s="42" t="s">
        <v>188</v>
      </c>
      <c r="C25" s="42" t="s">
        <v>192</v>
      </c>
      <c r="D25" s="42" t="s">
        <v>202</v>
      </c>
      <c r="E25" s="43">
        <v>8070</v>
      </c>
      <c r="J25" s="40"/>
    </row>
    <row r="26" spans="1:20">
      <c r="A26" s="44" t="s">
        <v>203</v>
      </c>
      <c r="B26" s="45"/>
      <c r="C26" s="45"/>
      <c r="D26" s="45"/>
      <c r="E26" s="46">
        <f>SUM(E2:E25)</f>
        <v>137610</v>
      </c>
      <c r="J26" s="40"/>
    </row>
    <row r="27" spans="1:20">
      <c r="A27" s="41">
        <v>44656</v>
      </c>
      <c r="B27" s="42" t="s">
        <v>188</v>
      </c>
      <c r="C27" s="42" t="s">
        <v>189</v>
      </c>
      <c r="D27" s="42" t="s">
        <v>202</v>
      </c>
      <c r="E27" s="43">
        <v>4110</v>
      </c>
      <c r="J27" s="40"/>
    </row>
    <row r="28" spans="1:20">
      <c r="A28" s="41">
        <v>44656</v>
      </c>
      <c r="B28" s="42" t="s">
        <v>182</v>
      </c>
      <c r="C28" s="42" t="s">
        <v>185</v>
      </c>
      <c r="D28" s="42" t="s">
        <v>204</v>
      </c>
      <c r="E28" s="43">
        <v>5480</v>
      </c>
      <c r="J28" s="40"/>
    </row>
    <row r="29" spans="1:20">
      <c r="A29" s="41">
        <v>44656</v>
      </c>
      <c r="B29" s="42" t="s">
        <v>182</v>
      </c>
      <c r="C29" s="42" t="s">
        <v>185</v>
      </c>
      <c r="D29" s="42" t="s">
        <v>205</v>
      </c>
      <c r="E29" s="43">
        <v>5500</v>
      </c>
      <c r="J29" s="40"/>
    </row>
    <row r="30" spans="1:20">
      <c r="A30" s="41">
        <v>44671</v>
      </c>
      <c r="B30" s="42" t="s">
        <v>188</v>
      </c>
      <c r="C30" s="42" t="s">
        <v>192</v>
      </c>
      <c r="D30" s="42" t="s">
        <v>194</v>
      </c>
      <c r="E30" s="43">
        <v>8600</v>
      </c>
      <c r="J30" s="40"/>
    </row>
    <row r="31" spans="1:20">
      <c r="A31" s="41">
        <v>44672</v>
      </c>
      <c r="B31" s="42" t="s">
        <v>182</v>
      </c>
      <c r="C31" s="42" t="s">
        <v>183</v>
      </c>
      <c r="D31" s="42" t="s">
        <v>204</v>
      </c>
      <c r="E31" s="43">
        <v>3490</v>
      </c>
      <c r="J31" s="40"/>
    </row>
    <row r="32" spans="1:20">
      <c r="A32" s="41">
        <v>44673</v>
      </c>
      <c r="B32" s="42" t="s">
        <v>176</v>
      </c>
      <c r="C32" s="42" t="s">
        <v>187</v>
      </c>
      <c r="D32" s="42" t="s">
        <v>191</v>
      </c>
      <c r="E32" s="43">
        <v>2570</v>
      </c>
      <c r="J32" s="40"/>
    </row>
    <row r="33" spans="1:10">
      <c r="A33" s="41">
        <v>44673</v>
      </c>
      <c r="B33" s="42" t="s">
        <v>182</v>
      </c>
      <c r="C33" s="42" t="s">
        <v>183</v>
      </c>
      <c r="D33" s="42" t="s">
        <v>186</v>
      </c>
      <c r="E33" s="43">
        <v>4890</v>
      </c>
      <c r="J33" s="40"/>
    </row>
    <row r="34" spans="1:10">
      <c r="A34" s="41">
        <v>44676</v>
      </c>
      <c r="B34" s="42" t="s">
        <v>182</v>
      </c>
      <c r="C34" s="42" t="s">
        <v>183</v>
      </c>
      <c r="D34" s="42" t="s">
        <v>204</v>
      </c>
      <c r="E34" s="43">
        <v>4340</v>
      </c>
      <c r="J34" s="40"/>
    </row>
    <row r="35" spans="1:10">
      <c r="A35" s="41">
        <v>44681</v>
      </c>
      <c r="B35" s="42" t="s">
        <v>188</v>
      </c>
      <c r="C35" s="42" t="s">
        <v>189</v>
      </c>
      <c r="D35" s="42" t="s">
        <v>190</v>
      </c>
      <c r="E35" s="43">
        <v>8010</v>
      </c>
      <c r="J35" s="40"/>
    </row>
    <row r="36" spans="1:10">
      <c r="A36" s="41">
        <v>44685</v>
      </c>
      <c r="B36" s="42" t="s">
        <v>188</v>
      </c>
      <c r="C36" s="42" t="s">
        <v>192</v>
      </c>
      <c r="D36" s="42" t="s">
        <v>190</v>
      </c>
      <c r="E36" s="43">
        <v>7760</v>
      </c>
      <c r="J36" s="40"/>
    </row>
    <row r="37" spans="1:10">
      <c r="A37" s="41">
        <v>44687</v>
      </c>
      <c r="B37" s="42" t="s">
        <v>188</v>
      </c>
      <c r="C37" s="42" t="s">
        <v>189</v>
      </c>
      <c r="D37" s="42" t="s">
        <v>201</v>
      </c>
      <c r="E37" s="43">
        <v>840</v>
      </c>
      <c r="J37" s="40"/>
    </row>
    <row r="38" spans="1:10">
      <c r="A38" s="41">
        <v>44688</v>
      </c>
      <c r="B38" s="42" t="s">
        <v>182</v>
      </c>
      <c r="C38" s="42" t="s">
        <v>183</v>
      </c>
      <c r="D38" s="42" t="s">
        <v>186</v>
      </c>
      <c r="E38" s="43">
        <v>3400</v>
      </c>
      <c r="J38" s="40"/>
    </row>
    <row r="39" spans="1:10">
      <c r="A39" s="41">
        <v>44692</v>
      </c>
      <c r="B39" s="42" t="s">
        <v>176</v>
      </c>
      <c r="C39" s="42" t="s">
        <v>187</v>
      </c>
      <c r="D39" s="42" t="s">
        <v>206</v>
      </c>
      <c r="E39" s="43">
        <v>6500</v>
      </c>
      <c r="J39" s="40"/>
    </row>
    <row r="40" spans="1:10">
      <c r="A40" s="41">
        <v>44692</v>
      </c>
      <c r="B40" s="42" t="s">
        <v>182</v>
      </c>
      <c r="C40" s="42" t="s">
        <v>185</v>
      </c>
      <c r="D40" s="42" t="s">
        <v>186</v>
      </c>
      <c r="E40" s="43">
        <v>5100</v>
      </c>
    </row>
    <row r="41" spans="1:10">
      <c r="A41" s="41">
        <v>44694</v>
      </c>
      <c r="B41" s="42" t="s">
        <v>188</v>
      </c>
      <c r="C41" s="42" t="s">
        <v>192</v>
      </c>
      <c r="D41" s="42" t="s">
        <v>197</v>
      </c>
      <c r="E41" s="43">
        <v>2960</v>
      </c>
    </row>
    <row r="42" spans="1:10">
      <c r="A42" s="41">
        <v>44698</v>
      </c>
      <c r="B42" s="42" t="s">
        <v>188</v>
      </c>
      <c r="C42" s="42" t="s">
        <v>189</v>
      </c>
      <c r="D42" s="42" t="s">
        <v>194</v>
      </c>
      <c r="E42" s="43">
        <v>6570</v>
      </c>
    </row>
    <row r="43" spans="1:10">
      <c r="A43" s="41">
        <v>44700</v>
      </c>
      <c r="B43" s="42" t="s">
        <v>176</v>
      </c>
      <c r="C43" s="42" t="s">
        <v>177</v>
      </c>
      <c r="D43" s="42" t="s">
        <v>207</v>
      </c>
      <c r="E43" s="43">
        <v>5410</v>
      </c>
    </row>
    <row r="44" spans="1:10">
      <c r="A44" s="41">
        <v>44703</v>
      </c>
      <c r="B44" s="42" t="s">
        <v>176</v>
      </c>
      <c r="C44" s="42" t="s">
        <v>177</v>
      </c>
      <c r="D44" s="42" t="s">
        <v>206</v>
      </c>
      <c r="E44" s="43">
        <v>5160</v>
      </c>
    </row>
    <row r="45" spans="1:10">
      <c r="A45" s="41">
        <v>44706</v>
      </c>
      <c r="B45" s="42" t="s">
        <v>182</v>
      </c>
      <c r="C45" s="42" t="s">
        <v>185</v>
      </c>
      <c r="D45" s="42" t="s">
        <v>204</v>
      </c>
      <c r="E45" s="43">
        <v>2130</v>
      </c>
    </row>
    <row r="46" spans="1:10">
      <c r="A46" s="41">
        <v>44707</v>
      </c>
      <c r="B46" s="42" t="s">
        <v>188</v>
      </c>
      <c r="C46" s="42" t="s">
        <v>192</v>
      </c>
      <c r="D46" s="42" t="s">
        <v>194</v>
      </c>
      <c r="E46" s="43">
        <v>5490</v>
      </c>
    </row>
    <row r="47" spans="1:10">
      <c r="A47" s="41">
        <v>44709</v>
      </c>
      <c r="B47" s="42" t="s">
        <v>176</v>
      </c>
      <c r="C47" s="42" t="s">
        <v>177</v>
      </c>
      <c r="D47" s="42" t="s">
        <v>178</v>
      </c>
      <c r="E47" s="43">
        <v>5840</v>
      </c>
    </row>
    <row r="48" spans="1:10">
      <c r="A48" s="41">
        <v>44717</v>
      </c>
      <c r="B48" s="42" t="s">
        <v>176</v>
      </c>
      <c r="C48" s="42" t="s">
        <v>187</v>
      </c>
      <c r="D48" s="42" t="s">
        <v>207</v>
      </c>
      <c r="E48" s="43">
        <v>6070</v>
      </c>
    </row>
    <row r="49" spans="1:5">
      <c r="A49" s="41">
        <v>44722</v>
      </c>
      <c r="B49" s="42" t="s">
        <v>176</v>
      </c>
      <c r="C49" s="42" t="s">
        <v>187</v>
      </c>
      <c r="D49" s="42" t="s">
        <v>208</v>
      </c>
      <c r="E49" s="43">
        <v>6040</v>
      </c>
    </row>
    <row r="50" spans="1:5">
      <c r="A50" s="41">
        <v>44723</v>
      </c>
      <c r="B50" s="42" t="s">
        <v>182</v>
      </c>
      <c r="C50" s="42" t="s">
        <v>183</v>
      </c>
      <c r="D50" s="42" t="s">
        <v>186</v>
      </c>
      <c r="E50" s="43">
        <v>3040</v>
      </c>
    </row>
    <row r="51" spans="1:5">
      <c r="A51" s="41">
        <v>44724</v>
      </c>
      <c r="B51" s="42" t="s">
        <v>182</v>
      </c>
      <c r="C51" s="42" t="s">
        <v>183</v>
      </c>
      <c r="D51" s="42" t="s">
        <v>195</v>
      </c>
      <c r="E51" s="43">
        <v>630</v>
      </c>
    </row>
    <row r="52" spans="1:5">
      <c r="A52" s="41">
        <v>44727</v>
      </c>
      <c r="B52" s="42" t="s">
        <v>176</v>
      </c>
      <c r="C52" s="42" t="s">
        <v>177</v>
      </c>
      <c r="D52" s="42" t="s">
        <v>208</v>
      </c>
      <c r="E52" s="43">
        <v>2300</v>
      </c>
    </row>
    <row r="53" spans="1:5">
      <c r="A53" s="41">
        <v>44727</v>
      </c>
      <c r="B53" s="42" t="s">
        <v>182</v>
      </c>
      <c r="C53" s="42" t="s">
        <v>183</v>
      </c>
      <c r="D53" s="42" t="s">
        <v>199</v>
      </c>
      <c r="E53" s="43">
        <v>7030</v>
      </c>
    </row>
    <row r="54" spans="1:5">
      <c r="A54" s="41">
        <v>44731</v>
      </c>
      <c r="B54" s="42" t="s">
        <v>188</v>
      </c>
      <c r="C54" s="42" t="s">
        <v>192</v>
      </c>
      <c r="D54" s="42" t="s">
        <v>202</v>
      </c>
      <c r="E54" s="43">
        <v>8150</v>
      </c>
    </row>
    <row r="55" spans="1:5">
      <c r="A55" s="41">
        <v>44737</v>
      </c>
      <c r="B55" s="42" t="s">
        <v>176</v>
      </c>
      <c r="C55" s="42" t="s">
        <v>177</v>
      </c>
      <c r="D55" s="42" t="s">
        <v>178</v>
      </c>
      <c r="E55" s="43">
        <v>1400</v>
      </c>
    </row>
    <row r="56" spans="1:5">
      <c r="A56" s="41">
        <v>44740</v>
      </c>
      <c r="B56" s="42" t="s">
        <v>182</v>
      </c>
      <c r="C56" s="42" t="s">
        <v>185</v>
      </c>
      <c r="D56" s="42" t="s">
        <v>195</v>
      </c>
      <c r="E56" s="43">
        <v>1930</v>
      </c>
    </row>
    <row r="57" spans="1:5">
      <c r="A57" s="41">
        <v>44741</v>
      </c>
      <c r="B57" s="42" t="s">
        <v>182</v>
      </c>
      <c r="C57" s="42" t="s">
        <v>183</v>
      </c>
      <c r="D57" s="42" t="s">
        <v>204</v>
      </c>
      <c r="E57" s="43">
        <v>4580</v>
      </c>
    </row>
    <row r="58" spans="1:5">
      <c r="A58" s="44" t="s">
        <v>209</v>
      </c>
      <c r="B58" s="45"/>
      <c r="C58" s="45"/>
      <c r="D58" s="45"/>
      <c r="E58" s="46">
        <f>SUM(E27:E57)</f>
        <v>145320</v>
      </c>
    </row>
    <row r="59" spans="1:5" ht="15" thickBot="1">
      <c r="A59" s="47" t="s">
        <v>210</v>
      </c>
      <c r="B59" s="48"/>
      <c r="C59" s="48"/>
      <c r="D59" s="48"/>
      <c r="E59" s="49">
        <f>E58+E26</f>
        <v>282930</v>
      </c>
    </row>
    <row r="60" spans="1:5">
      <c r="A60" s="50">
        <v>44743</v>
      </c>
      <c r="B60" s="51" t="s">
        <v>176</v>
      </c>
      <c r="C60" s="51" t="s">
        <v>187</v>
      </c>
      <c r="D60" s="51" t="s">
        <v>191</v>
      </c>
      <c r="E60" s="52">
        <v>2600</v>
      </c>
    </row>
    <row r="61" spans="1:5">
      <c r="A61" s="41">
        <v>44744</v>
      </c>
      <c r="B61" s="42" t="s">
        <v>176</v>
      </c>
      <c r="C61" s="42" t="s">
        <v>187</v>
      </c>
      <c r="D61" s="42" t="s">
        <v>208</v>
      </c>
      <c r="E61" s="43">
        <v>180</v>
      </c>
    </row>
    <row r="62" spans="1:5">
      <c r="A62" s="41">
        <v>44744</v>
      </c>
      <c r="B62" s="42" t="s">
        <v>176</v>
      </c>
      <c r="C62" s="42" t="s">
        <v>187</v>
      </c>
      <c r="D62" s="42" t="s">
        <v>208</v>
      </c>
      <c r="E62" s="43">
        <v>6500</v>
      </c>
    </row>
    <row r="63" spans="1:5">
      <c r="A63" s="41">
        <v>44746</v>
      </c>
      <c r="B63" s="42" t="s">
        <v>188</v>
      </c>
      <c r="C63" s="42" t="s">
        <v>189</v>
      </c>
      <c r="D63" s="42" t="s">
        <v>201</v>
      </c>
      <c r="E63" s="43">
        <v>2480</v>
      </c>
    </row>
    <row r="64" spans="1:5">
      <c r="A64" s="41">
        <v>44749</v>
      </c>
      <c r="B64" s="42" t="s">
        <v>182</v>
      </c>
      <c r="C64" s="42" t="s">
        <v>185</v>
      </c>
      <c r="D64" s="42" t="s">
        <v>204</v>
      </c>
      <c r="E64" s="43">
        <v>1970</v>
      </c>
    </row>
    <row r="65" spans="1:5">
      <c r="A65" s="41">
        <v>44749</v>
      </c>
      <c r="B65" s="42" t="s">
        <v>188</v>
      </c>
      <c r="C65" s="42" t="s">
        <v>189</v>
      </c>
      <c r="D65" s="42" t="s">
        <v>190</v>
      </c>
      <c r="E65" s="43">
        <v>5470</v>
      </c>
    </row>
    <row r="66" spans="1:5">
      <c r="A66" s="41">
        <v>44751</v>
      </c>
      <c r="B66" s="42" t="s">
        <v>188</v>
      </c>
      <c r="C66" s="42" t="s">
        <v>192</v>
      </c>
      <c r="D66" s="42" t="s">
        <v>202</v>
      </c>
      <c r="E66" s="43">
        <v>6910</v>
      </c>
    </row>
    <row r="67" spans="1:5">
      <c r="A67" s="41">
        <v>44752</v>
      </c>
      <c r="B67" s="42" t="s">
        <v>176</v>
      </c>
      <c r="C67" s="42" t="s">
        <v>177</v>
      </c>
      <c r="D67" s="42" t="s">
        <v>191</v>
      </c>
      <c r="E67" s="43">
        <v>4060</v>
      </c>
    </row>
    <row r="68" spans="1:5">
      <c r="A68" s="41">
        <v>44757</v>
      </c>
      <c r="B68" s="42" t="s">
        <v>188</v>
      </c>
      <c r="C68" s="42" t="s">
        <v>189</v>
      </c>
      <c r="D68" s="42" t="s">
        <v>197</v>
      </c>
      <c r="E68" s="43">
        <v>2580</v>
      </c>
    </row>
    <row r="69" spans="1:5">
      <c r="A69" s="41">
        <v>44757</v>
      </c>
      <c r="B69" s="42" t="s">
        <v>182</v>
      </c>
      <c r="C69" s="42" t="s">
        <v>183</v>
      </c>
      <c r="D69" s="42" t="s">
        <v>199</v>
      </c>
      <c r="E69" s="43">
        <v>1540</v>
      </c>
    </row>
    <row r="70" spans="1:5">
      <c r="A70" s="41">
        <v>44762</v>
      </c>
      <c r="B70" s="42" t="s">
        <v>176</v>
      </c>
      <c r="C70" s="42" t="s">
        <v>187</v>
      </c>
      <c r="D70" s="42" t="s">
        <v>191</v>
      </c>
      <c r="E70" s="43">
        <v>2400</v>
      </c>
    </row>
    <row r="71" spans="1:5">
      <c r="A71" s="41">
        <v>44762</v>
      </c>
      <c r="B71" s="42" t="s">
        <v>182</v>
      </c>
      <c r="C71" s="42" t="s">
        <v>183</v>
      </c>
      <c r="D71" s="42" t="s">
        <v>184</v>
      </c>
      <c r="E71" s="43">
        <v>5670</v>
      </c>
    </row>
    <row r="72" spans="1:5">
      <c r="A72" s="41">
        <v>44764</v>
      </c>
      <c r="B72" s="42" t="s">
        <v>182</v>
      </c>
      <c r="C72" s="42" t="s">
        <v>183</v>
      </c>
      <c r="D72" s="42" t="s">
        <v>205</v>
      </c>
      <c r="E72" s="43">
        <v>5010</v>
      </c>
    </row>
    <row r="73" spans="1:5">
      <c r="A73" s="41">
        <v>44765</v>
      </c>
      <c r="B73" s="42" t="s">
        <v>188</v>
      </c>
      <c r="C73" s="42" t="s">
        <v>189</v>
      </c>
      <c r="D73" s="42" t="s">
        <v>202</v>
      </c>
      <c r="E73" s="43">
        <v>7050</v>
      </c>
    </row>
    <row r="74" spans="1:5">
      <c r="A74" s="41">
        <v>44772</v>
      </c>
      <c r="B74" s="42" t="s">
        <v>182</v>
      </c>
      <c r="C74" s="42" t="s">
        <v>183</v>
      </c>
      <c r="D74" s="42" t="s">
        <v>204</v>
      </c>
      <c r="E74" s="43">
        <v>1610</v>
      </c>
    </row>
    <row r="75" spans="1:5">
      <c r="A75" s="41">
        <v>44774</v>
      </c>
      <c r="B75" s="42" t="s">
        <v>188</v>
      </c>
      <c r="C75" s="42" t="s">
        <v>189</v>
      </c>
      <c r="D75" s="42" t="s">
        <v>201</v>
      </c>
      <c r="E75" s="43">
        <v>1770</v>
      </c>
    </row>
    <row r="76" spans="1:5">
      <c r="A76" s="41">
        <v>44783</v>
      </c>
      <c r="B76" s="42" t="s">
        <v>176</v>
      </c>
      <c r="C76" s="42" t="s">
        <v>177</v>
      </c>
      <c r="D76" s="42" t="s">
        <v>208</v>
      </c>
      <c r="E76" s="43">
        <v>2850</v>
      </c>
    </row>
    <row r="77" spans="1:5">
      <c r="A77" s="41">
        <v>44784</v>
      </c>
      <c r="B77" s="42" t="s">
        <v>182</v>
      </c>
      <c r="C77" s="42" t="s">
        <v>183</v>
      </c>
      <c r="D77" s="42" t="s">
        <v>195</v>
      </c>
      <c r="E77" s="43">
        <v>3170</v>
      </c>
    </row>
    <row r="78" spans="1:5">
      <c r="A78" s="41">
        <v>44784</v>
      </c>
      <c r="B78" s="42" t="s">
        <v>176</v>
      </c>
      <c r="C78" s="42" t="s">
        <v>177</v>
      </c>
      <c r="D78" s="42" t="s">
        <v>178</v>
      </c>
      <c r="E78" s="43">
        <v>270</v>
      </c>
    </row>
    <row r="79" spans="1:5">
      <c r="A79" s="41">
        <v>44786</v>
      </c>
      <c r="B79" s="42" t="s">
        <v>176</v>
      </c>
      <c r="C79" s="42" t="s">
        <v>187</v>
      </c>
      <c r="D79" s="42" t="s">
        <v>178</v>
      </c>
      <c r="E79" s="43">
        <v>2140</v>
      </c>
    </row>
    <row r="80" spans="1:5">
      <c r="A80" s="41">
        <v>44787</v>
      </c>
      <c r="B80" s="42" t="s">
        <v>182</v>
      </c>
      <c r="C80" s="42" t="s">
        <v>185</v>
      </c>
      <c r="D80" s="42" t="s">
        <v>184</v>
      </c>
      <c r="E80" s="43">
        <v>3240</v>
      </c>
    </row>
    <row r="81" spans="1:6">
      <c r="A81" s="41">
        <v>44787</v>
      </c>
      <c r="B81" s="42" t="s">
        <v>176</v>
      </c>
      <c r="C81" s="42" t="s">
        <v>177</v>
      </c>
      <c r="D81" s="42" t="s">
        <v>200</v>
      </c>
      <c r="E81" s="43">
        <v>6500</v>
      </c>
    </row>
    <row r="82" spans="1:6">
      <c r="A82" s="41">
        <v>44792</v>
      </c>
      <c r="B82" s="42" t="s">
        <v>182</v>
      </c>
      <c r="C82" s="42" t="s">
        <v>185</v>
      </c>
      <c r="D82" s="42" t="s">
        <v>204</v>
      </c>
      <c r="E82" s="43">
        <v>5860</v>
      </c>
    </row>
    <row r="83" spans="1:6">
      <c r="A83" s="41">
        <v>44795</v>
      </c>
      <c r="B83" s="42" t="s">
        <v>182</v>
      </c>
      <c r="C83" s="42" t="s">
        <v>185</v>
      </c>
      <c r="D83" s="42" t="s">
        <v>205</v>
      </c>
      <c r="E83" s="43">
        <v>4280</v>
      </c>
    </row>
    <row r="84" spans="1:6">
      <c r="A84" s="41">
        <v>44795</v>
      </c>
      <c r="B84" s="42" t="s">
        <v>182</v>
      </c>
      <c r="C84" s="42" t="s">
        <v>185</v>
      </c>
      <c r="D84" s="42" t="s">
        <v>204</v>
      </c>
      <c r="E84" s="43">
        <v>3930</v>
      </c>
    </row>
    <row r="85" spans="1:6">
      <c r="A85" s="41">
        <v>44809</v>
      </c>
      <c r="B85" s="42" t="s">
        <v>188</v>
      </c>
      <c r="C85" s="42" t="s">
        <v>192</v>
      </c>
      <c r="D85" s="42" t="s">
        <v>197</v>
      </c>
      <c r="E85" s="43">
        <v>3580</v>
      </c>
    </row>
    <row r="86" spans="1:6">
      <c r="A86" s="41">
        <v>44811</v>
      </c>
      <c r="B86" s="42" t="s">
        <v>188</v>
      </c>
      <c r="C86" s="42" t="s">
        <v>192</v>
      </c>
      <c r="D86" s="42" t="s">
        <v>190</v>
      </c>
      <c r="E86" s="43">
        <v>1150</v>
      </c>
    </row>
    <row r="87" spans="1:6">
      <c r="A87" s="41">
        <v>44812</v>
      </c>
      <c r="B87" s="42" t="s">
        <v>176</v>
      </c>
      <c r="C87" s="42" t="s">
        <v>187</v>
      </c>
      <c r="D87" s="42" t="s">
        <v>207</v>
      </c>
      <c r="E87" s="43">
        <v>3130</v>
      </c>
    </row>
    <row r="88" spans="1:6">
      <c r="A88" s="41">
        <v>44815</v>
      </c>
      <c r="B88" s="42" t="s">
        <v>188</v>
      </c>
      <c r="C88" s="42" t="s">
        <v>189</v>
      </c>
      <c r="D88" s="42" t="s">
        <v>193</v>
      </c>
      <c r="E88" s="43">
        <v>4420</v>
      </c>
    </row>
    <row r="89" spans="1:6">
      <c r="A89" s="41">
        <v>44816</v>
      </c>
      <c r="B89" s="42" t="s">
        <v>188</v>
      </c>
      <c r="C89" s="42" t="s">
        <v>189</v>
      </c>
      <c r="D89" s="42" t="s">
        <v>193</v>
      </c>
      <c r="E89" s="43">
        <v>6920</v>
      </c>
    </row>
    <row r="90" spans="1:6">
      <c r="A90" s="41">
        <v>44826</v>
      </c>
      <c r="B90" s="42" t="s">
        <v>182</v>
      </c>
      <c r="C90" s="42" t="s">
        <v>185</v>
      </c>
      <c r="D90" s="42" t="s">
        <v>184</v>
      </c>
      <c r="E90" s="43">
        <v>5410</v>
      </c>
    </row>
    <row r="91" spans="1:6">
      <c r="A91" s="41">
        <v>44826</v>
      </c>
      <c r="B91" s="42" t="s">
        <v>176</v>
      </c>
      <c r="C91" s="42" t="s">
        <v>177</v>
      </c>
      <c r="D91" s="42" t="s">
        <v>207</v>
      </c>
      <c r="E91" s="43">
        <v>5530</v>
      </c>
    </row>
    <row r="92" spans="1:6">
      <c r="A92" s="41">
        <v>44827</v>
      </c>
      <c r="B92" s="42" t="s">
        <v>176</v>
      </c>
      <c r="C92" s="42" t="s">
        <v>177</v>
      </c>
      <c r="D92" s="42" t="s">
        <v>191</v>
      </c>
      <c r="E92" s="43">
        <v>5600</v>
      </c>
    </row>
    <row r="93" spans="1:6">
      <c r="A93" s="41">
        <v>44830</v>
      </c>
      <c r="B93" s="42" t="s">
        <v>182</v>
      </c>
      <c r="C93" s="42" t="s">
        <v>185</v>
      </c>
      <c r="D93" s="42" t="s">
        <v>195</v>
      </c>
      <c r="E93" s="43">
        <v>560</v>
      </c>
    </row>
    <row r="94" spans="1:6">
      <c r="A94" s="44" t="s">
        <v>211</v>
      </c>
      <c r="B94" s="45"/>
      <c r="C94" s="45"/>
      <c r="D94" s="45"/>
      <c r="E94" s="46">
        <f>SUM(E60:E93)</f>
        <v>126340</v>
      </c>
      <c r="F94" s="14"/>
    </row>
    <row r="95" spans="1:6">
      <c r="A95" s="41">
        <v>44835</v>
      </c>
      <c r="B95" s="42" t="s">
        <v>188</v>
      </c>
      <c r="C95" s="42" t="s">
        <v>189</v>
      </c>
      <c r="D95" s="42" t="s">
        <v>194</v>
      </c>
      <c r="E95" s="43">
        <v>5070</v>
      </c>
    </row>
    <row r="96" spans="1:6">
      <c r="A96" s="41">
        <v>44837</v>
      </c>
      <c r="B96" s="42" t="s">
        <v>182</v>
      </c>
      <c r="C96" s="42" t="s">
        <v>183</v>
      </c>
      <c r="D96" s="42" t="s">
        <v>186</v>
      </c>
      <c r="E96" s="43">
        <v>3360</v>
      </c>
    </row>
    <row r="97" spans="1:5">
      <c r="A97" s="41">
        <v>44842</v>
      </c>
      <c r="B97" s="42" t="s">
        <v>188</v>
      </c>
      <c r="C97" s="42" t="s">
        <v>192</v>
      </c>
      <c r="D97" s="42" t="s">
        <v>193</v>
      </c>
      <c r="E97" s="43">
        <v>7550</v>
      </c>
    </row>
    <row r="98" spans="1:5">
      <c r="A98" s="41">
        <v>44842</v>
      </c>
      <c r="B98" s="42" t="s">
        <v>176</v>
      </c>
      <c r="C98" s="42" t="s">
        <v>177</v>
      </c>
      <c r="D98" s="42" t="s">
        <v>207</v>
      </c>
      <c r="E98" s="43">
        <v>1530</v>
      </c>
    </row>
    <row r="99" spans="1:5">
      <c r="A99" s="41">
        <v>44843</v>
      </c>
      <c r="B99" s="42" t="s">
        <v>176</v>
      </c>
      <c r="C99" s="42" t="s">
        <v>177</v>
      </c>
      <c r="D99" s="42" t="s">
        <v>207</v>
      </c>
      <c r="E99" s="43">
        <v>2600</v>
      </c>
    </row>
    <row r="100" spans="1:5">
      <c r="A100" s="41">
        <v>44845</v>
      </c>
      <c r="B100" s="42" t="s">
        <v>188</v>
      </c>
      <c r="C100" s="42" t="s">
        <v>189</v>
      </c>
      <c r="D100" s="42" t="s">
        <v>197</v>
      </c>
      <c r="E100" s="43">
        <v>1110</v>
      </c>
    </row>
    <row r="101" spans="1:5">
      <c r="A101" s="41">
        <v>44851</v>
      </c>
      <c r="B101" s="42" t="s">
        <v>182</v>
      </c>
      <c r="C101" s="42" t="s">
        <v>185</v>
      </c>
      <c r="D101" s="42" t="s">
        <v>186</v>
      </c>
      <c r="E101" s="43">
        <v>1890</v>
      </c>
    </row>
    <row r="102" spans="1:5">
      <c r="A102" s="41">
        <v>44854</v>
      </c>
      <c r="B102" s="42" t="s">
        <v>176</v>
      </c>
      <c r="C102" s="42" t="s">
        <v>187</v>
      </c>
      <c r="D102" s="42" t="s">
        <v>208</v>
      </c>
      <c r="E102" s="43">
        <v>2500</v>
      </c>
    </row>
    <row r="103" spans="1:5">
      <c r="A103" s="41">
        <v>44858</v>
      </c>
      <c r="B103" s="42" t="s">
        <v>188</v>
      </c>
      <c r="C103" s="42" t="s">
        <v>189</v>
      </c>
      <c r="D103" s="42" t="s">
        <v>190</v>
      </c>
      <c r="E103" s="43">
        <v>9520</v>
      </c>
    </row>
    <row r="104" spans="1:5">
      <c r="A104" s="41">
        <v>44861</v>
      </c>
      <c r="B104" s="42" t="s">
        <v>182</v>
      </c>
      <c r="C104" s="42" t="s">
        <v>185</v>
      </c>
      <c r="D104" s="42" t="s">
        <v>184</v>
      </c>
      <c r="E104" s="43">
        <v>7900</v>
      </c>
    </row>
    <row r="105" spans="1:5">
      <c r="A105" s="41">
        <v>44862</v>
      </c>
      <c r="B105" s="42" t="s">
        <v>188</v>
      </c>
      <c r="C105" s="42" t="s">
        <v>192</v>
      </c>
      <c r="D105" s="42" t="s">
        <v>190</v>
      </c>
      <c r="E105" s="43">
        <v>3080</v>
      </c>
    </row>
    <row r="106" spans="1:5">
      <c r="A106" s="41">
        <v>44863</v>
      </c>
      <c r="B106" s="42" t="s">
        <v>188</v>
      </c>
      <c r="C106" s="42" t="s">
        <v>192</v>
      </c>
      <c r="D106" s="42" t="s">
        <v>202</v>
      </c>
      <c r="E106" s="43">
        <v>770</v>
      </c>
    </row>
    <row r="107" spans="1:5">
      <c r="A107" s="41">
        <v>44867</v>
      </c>
      <c r="B107" s="42" t="s">
        <v>182</v>
      </c>
      <c r="C107" s="42" t="s">
        <v>183</v>
      </c>
      <c r="D107" s="42" t="s">
        <v>184</v>
      </c>
      <c r="E107" s="43">
        <v>6550</v>
      </c>
    </row>
    <row r="108" spans="1:5">
      <c r="A108" s="41">
        <v>44871</v>
      </c>
      <c r="B108" s="42" t="s">
        <v>188</v>
      </c>
      <c r="C108" s="42" t="s">
        <v>192</v>
      </c>
      <c r="D108" s="42" t="s">
        <v>194</v>
      </c>
      <c r="E108" s="43">
        <v>7660</v>
      </c>
    </row>
    <row r="109" spans="1:5">
      <c r="A109" s="41">
        <v>44877</v>
      </c>
      <c r="B109" s="42" t="s">
        <v>182</v>
      </c>
      <c r="C109" s="42" t="s">
        <v>185</v>
      </c>
      <c r="D109" s="42" t="s">
        <v>205</v>
      </c>
      <c r="E109" s="43">
        <v>630</v>
      </c>
    </row>
    <row r="110" spans="1:5">
      <c r="A110" s="41">
        <v>44877</v>
      </c>
      <c r="B110" s="42" t="s">
        <v>176</v>
      </c>
      <c r="C110" s="42" t="s">
        <v>177</v>
      </c>
      <c r="D110" s="42" t="s">
        <v>178</v>
      </c>
      <c r="E110" s="43">
        <v>3600</v>
      </c>
    </row>
    <row r="111" spans="1:5">
      <c r="A111" s="41">
        <v>44879</v>
      </c>
      <c r="B111" s="42" t="s">
        <v>182</v>
      </c>
      <c r="C111" s="42" t="s">
        <v>185</v>
      </c>
      <c r="D111" s="42" t="s">
        <v>205</v>
      </c>
      <c r="E111" s="43">
        <v>850</v>
      </c>
    </row>
    <row r="112" spans="1:5">
      <c r="A112" s="41">
        <v>44885</v>
      </c>
      <c r="B112" s="42" t="s">
        <v>176</v>
      </c>
      <c r="C112" s="42" t="s">
        <v>187</v>
      </c>
      <c r="D112" s="42" t="s">
        <v>200</v>
      </c>
      <c r="E112" s="43">
        <v>3920</v>
      </c>
    </row>
    <row r="113" spans="1:5">
      <c r="A113" s="41">
        <v>44887</v>
      </c>
      <c r="B113" s="42" t="s">
        <v>188</v>
      </c>
      <c r="C113" s="42" t="s">
        <v>189</v>
      </c>
      <c r="D113" s="42" t="s">
        <v>201</v>
      </c>
      <c r="E113" s="43">
        <v>830</v>
      </c>
    </row>
    <row r="114" spans="1:5">
      <c r="A114" s="41">
        <v>44887</v>
      </c>
      <c r="B114" s="42" t="s">
        <v>188</v>
      </c>
      <c r="C114" s="42" t="s">
        <v>189</v>
      </c>
      <c r="D114" s="42" t="s">
        <v>202</v>
      </c>
      <c r="E114" s="43">
        <v>4530</v>
      </c>
    </row>
    <row r="115" spans="1:5">
      <c r="A115" s="41">
        <v>44887</v>
      </c>
      <c r="B115" s="42" t="s">
        <v>188</v>
      </c>
      <c r="C115" s="42" t="s">
        <v>192</v>
      </c>
      <c r="D115" s="42" t="s">
        <v>193</v>
      </c>
      <c r="E115" s="43">
        <v>6820</v>
      </c>
    </row>
    <row r="116" spans="1:5">
      <c r="A116" s="41">
        <v>44893</v>
      </c>
      <c r="B116" s="42" t="s">
        <v>182</v>
      </c>
      <c r="C116" s="42" t="s">
        <v>185</v>
      </c>
      <c r="D116" s="42" t="s">
        <v>199</v>
      </c>
      <c r="E116" s="43">
        <v>6970</v>
      </c>
    </row>
    <row r="117" spans="1:5">
      <c r="A117" s="41">
        <v>44899</v>
      </c>
      <c r="B117" s="42" t="s">
        <v>188</v>
      </c>
      <c r="C117" s="42" t="s">
        <v>189</v>
      </c>
      <c r="D117" s="42" t="s">
        <v>194</v>
      </c>
      <c r="E117" s="43">
        <v>8220</v>
      </c>
    </row>
    <row r="118" spans="1:5">
      <c r="A118" s="41">
        <v>44904</v>
      </c>
      <c r="B118" s="42" t="s">
        <v>176</v>
      </c>
      <c r="C118" s="42" t="s">
        <v>177</v>
      </c>
      <c r="D118" s="42" t="s">
        <v>207</v>
      </c>
      <c r="E118" s="43">
        <v>2300</v>
      </c>
    </row>
    <row r="119" spans="1:5">
      <c r="A119" s="41">
        <v>44911</v>
      </c>
      <c r="B119" s="42" t="s">
        <v>176</v>
      </c>
      <c r="C119" s="42" t="s">
        <v>177</v>
      </c>
      <c r="D119" s="42" t="s">
        <v>191</v>
      </c>
      <c r="E119" s="43">
        <v>490</v>
      </c>
    </row>
    <row r="120" spans="1:5">
      <c r="A120" s="41">
        <v>44911</v>
      </c>
      <c r="B120" s="42" t="s">
        <v>176</v>
      </c>
      <c r="C120" s="42" t="s">
        <v>177</v>
      </c>
      <c r="D120" s="42" t="s">
        <v>206</v>
      </c>
      <c r="E120" s="43">
        <v>2140</v>
      </c>
    </row>
    <row r="121" spans="1:5">
      <c r="A121" s="41">
        <v>44912</v>
      </c>
      <c r="B121" s="42" t="s">
        <v>176</v>
      </c>
      <c r="C121" s="42" t="s">
        <v>177</v>
      </c>
      <c r="D121" s="42" t="s">
        <v>191</v>
      </c>
      <c r="E121" s="43">
        <v>5650</v>
      </c>
    </row>
    <row r="122" spans="1:5">
      <c r="A122" s="41">
        <v>44920</v>
      </c>
      <c r="B122" s="42" t="s">
        <v>182</v>
      </c>
      <c r="C122" s="42" t="s">
        <v>183</v>
      </c>
      <c r="D122" s="42" t="s">
        <v>204</v>
      </c>
      <c r="E122" s="43">
        <v>2330</v>
      </c>
    </row>
    <row r="123" spans="1:5">
      <c r="A123" s="41">
        <v>44925</v>
      </c>
      <c r="B123" s="42" t="s">
        <v>182</v>
      </c>
      <c r="C123" s="42" t="s">
        <v>183</v>
      </c>
      <c r="D123" s="42" t="s">
        <v>205</v>
      </c>
      <c r="E123" s="43">
        <v>8090</v>
      </c>
    </row>
    <row r="124" spans="1:5">
      <c r="A124" s="44" t="s">
        <v>212</v>
      </c>
      <c r="B124" s="45"/>
      <c r="C124" s="45"/>
      <c r="D124" s="45"/>
      <c r="E124" s="46">
        <f>SUM(E95:E123)</f>
        <v>118460</v>
      </c>
    </row>
    <row r="125" spans="1:5" ht="15" thickBot="1">
      <c r="A125" s="47" t="s">
        <v>213</v>
      </c>
      <c r="B125" s="48"/>
      <c r="C125" s="48"/>
      <c r="D125" s="48"/>
      <c r="E125" s="49">
        <f>E124+E94+E59</f>
        <v>527730</v>
      </c>
    </row>
    <row r="126" spans="1:5">
      <c r="A126" s="50">
        <v>44928</v>
      </c>
      <c r="B126" s="51" t="s">
        <v>182</v>
      </c>
      <c r="C126" s="51" t="s">
        <v>183</v>
      </c>
      <c r="D126" s="51" t="s">
        <v>186</v>
      </c>
      <c r="E126" s="52">
        <v>7570</v>
      </c>
    </row>
    <row r="127" spans="1:5">
      <c r="A127" s="41">
        <v>44928</v>
      </c>
      <c r="B127" s="42" t="s">
        <v>182</v>
      </c>
      <c r="C127" s="42" t="s">
        <v>183</v>
      </c>
      <c r="D127" s="42" t="s">
        <v>205</v>
      </c>
      <c r="E127" s="43">
        <v>2270</v>
      </c>
    </row>
    <row r="128" spans="1:5">
      <c r="A128" s="41">
        <v>44929</v>
      </c>
      <c r="B128" s="42" t="s">
        <v>176</v>
      </c>
      <c r="C128" s="42" t="s">
        <v>177</v>
      </c>
      <c r="D128" s="42" t="s">
        <v>200</v>
      </c>
      <c r="E128" s="43">
        <v>2500</v>
      </c>
    </row>
    <row r="129" spans="1:5">
      <c r="A129" s="41">
        <v>44932</v>
      </c>
      <c r="B129" s="42" t="s">
        <v>182</v>
      </c>
      <c r="C129" s="42" t="s">
        <v>185</v>
      </c>
      <c r="D129" s="42" t="s">
        <v>186</v>
      </c>
      <c r="E129" s="43">
        <v>5410</v>
      </c>
    </row>
    <row r="130" spans="1:5">
      <c r="A130" s="41">
        <v>44933</v>
      </c>
      <c r="B130" s="42" t="s">
        <v>188</v>
      </c>
      <c r="C130" s="42" t="s">
        <v>189</v>
      </c>
      <c r="D130" s="42" t="s">
        <v>197</v>
      </c>
      <c r="E130" s="43">
        <v>5420</v>
      </c>
    </row>
    <row r="131" spans="1:5">
      <c r="A131" s="41">
        <v>44936</v>
      </c>
      <c r="B131" s="42" t="s">
        <v>176</v>
      </c>
      <c r="C131" s="42" t="s">
        <v>187</v>
      </c>
      <c r="D131" s="42" t="s">
        <v>200</v>
      </c>
      <c r="E131" s="43">
        <v>470</v>
      </c>
    </row>
    <row r="132" spans="1:5">
      <c r="A132" s="41">
        <v>44937</v>
      </c>
      <c r="B132" s="42" t="s">
        <v>176</v>
      </c>
      <c r="C132" s="42" t="s">
        <v>177</v>
      </c>
      <c r="D132" s="42" t="s">
        <v>206</v>
      </c>
      <c r="E132" s="43">
        <v>3630</v>
      </c>
    </row>
    <row r="133" spans="1:5">
      <c r="A133" s="41">
        <v>44942</v>
      </c>
      <c r="B133" s="42" t="s">
        <v>182</v>
      </c>
      <c r="C133" s="42" t="s">
        <v>183</v>
      </c>
      <c r="D133" s="42" t="s">
        <v>186</v>
      </c>
      <c r="E133" s="43">
        <v>6970</v>
      </c>
    </row>
    <row r="134" spans="1:5">
      <c r="A134" s="41">
        <v>44942</v>
      </c>
      <c r="B134" s="42" t="s">
        <v>176</v>
      </c>
      <c r="C134" s="42" t="s">
        <v>187</v>
      </c>
      <c r="D134" s="42" t="s">
        <v>206</v>
      </c>
      <c r="E134" s="43">
        <v>6970</v>
      </c>
    </row>
    <row r="135" spans="1:5">
      <c r="A135" s="41">
        <v>44946</v>
      </c>
      <c r="B135" s="42" t="s">
        <v>188</v>
      </c>
      <c r="C135" s="42" t="s">
        <v>189</v>
      </c>
      <c r="D135" s="42" t="s">
        <v>201</v>
      </c>
      <c r="E135" s="43">
        <v>2170</v>
      </c>
    </row>
    <row r="136" spans="1:5">
      <c r="A136" s="41">
        <v>44949</v>
      </c>
      <c r="B136" s="42" t="s">
        <v>182</v>
      </c>
      <c r="C136" s="42" t="s">
        <v>185</v>
      </c>
      <c r="D136" s="42" t="s">
        <v>195</v>
      </c>
      <c r="E136" s="43">
        <v>8310</v>
      </c>
    </row>
    <row r="137" spans="1:5">
      <c r="A137" s="41">
        <v>44949</v>
      </c>
      <c r="B137" s="42" t="s">
        <v>188</v>
      </c>
      <c r="C137" s="42" t="s">
        <v>189</v>
      </c>
      <c r="D137" s="42" t="s">
        <v>193</v>
      </c>
      <c r="E137" s="43">
        <v>9790</v>
      </c>
    </row>
    <row r="138" spans="1:5">
      <c r="A138" s="41">
        <v>44949</v>
      </c>
      <c r="B138" s="42" t="s">
        <v>182</v>
      </c>
      <c r="C138" s="42" t="s">
        <v>185</v>
      </c>
      <c r="D138" s="42" t="s">
        <v>184</v>
      </c>
      <c r="E138" s="43">
        <v>9160</v>
      </c>
    </row>
    <row r="139" spans="1:5">
      <c r="A139" s="41">
        <v>44951</v>
      </c>
      <c r="B139" s="42" t="s">
        <v>176</v>
      </c>
      <c r="C139" s="42" t="s">
        <v>187</v>
      </c>
      <c r="D139" s="42" t="s">
        <v>208</v>
      </c>
      <c r="E139" s="43">
        <v>7380</v>
      </c>
    </row>
    <row r="140" spans="1:5">
      <c r="A140" s="41">
        <v>44954</v>
      </c>
      <c r="B140" s="42" t="s">
        <v>182</v>
      </c>
      <c r="C140" s="42" t="s">
        <v>185</v>
      </c>
      <c r="D140" s="42" t="s">
        <v>204</v>
      </c>
      <c r="E140" s="43">
        <v>6470</v>
      </c>
    </row>
    <row r="141" spans="1:5">
      <c r="A141" s="41">
        <v>44954</v>
      </c>
      <c r="B141" s="42" t="s">
        <v>182</v>
      </c>
      <c r="C141" s="42" t="s">
        <v>185</v>
      </c>
      <c r="D141" s="42" t="s">
        <v>186</v>
      </c>
      <c r="E141" s="43">
        <v>370</v>
      </c>
    </row>
    <row r="142" spans="1:5">
      <c r="A142" s="41">
        <v>44955</v>
      </c>
      <c r="B142" s="42" t="s">
        <v>182</v>
      </c>
      <c r="C142" s="42" t="s">
        <v>185</v>
      </c>
      <c r="D142" s="42" t="s">
        <v>184</v>
      </c>
      <c r="E142" s="43">
        <v>7750</v>
      </c>
    </row>
    <row r="143" spans="1:5">
      <c r="A143" s="41">
        <v>44958</v>
      </c>
      <c r="B143" s="42" t="s">
        <v>176</v>
      </c>
      <c r="C143" s="42" t="s">
        <v>177</v>
      </c>
      <c r="D143" s="42" t="s">
        <v>206</v>
      </c>
      <c r="E143" s="43">
        <v>6200</v>
      </c>
    </row>
    <row r="144" spans="1:5">
      <c r="A144" s="41">
        <v>44960</v>
      </c>
      <c r="B144" s="42" t="s">
        <v>176</v>
      </c>
      <c r="C144" s="42" t="s">
        <v>187</v>
      </c>
      <c r="D144" s="42" t="s">
        <v>206</v>
      </c>
      <c r="E144" s="43">
        <v>460</v>
      </c>
    </row>
    <row r="145" spans="1:5">
      <c r="A145" s="41">
        <v>44964</v>
      </c>
      <c r="B145" s="42" t="s">
        <v>182</v>
      </c>
      <c r="C145" s="42" t="s">
        <v>183</v>
      </c>
      <c r="D145" s="42" t="s">
        <v>184</v>
      </c>
      <c r="E145" s="43">
        <v>4360</v>
      </c>
    </row>
    <row r="146" spans="1:5">
      <c r="A146" s="41">
        <v>44968</v>
      </c>
      <c r="B146" s="42" t="s">
        <v>182</v>
      </c>
      <c r="C146" s="42" t="s">
        <v>185</v>
      </c>
      <c r="D146" s="42" t="s">
        <v>199</v>
      </c>
      <c r="E146" s="43">
        <v>2630</v>
      </c>
    </row>
    <row r="147" spans="1:5">
      <c r="A147" s="41">
        <v>44970</v>
      </c>
      <c r="B147" s="42" t="s">
        <v>188</v>
      </c>
      <c r="C147" s="42" t="s">
        <v>192</v>
      </c>
      <c r="D147" s="42" t="s">
        <v>201</v>
      </c>
      <c r="E147" s="43">
        <v>5490</v>
      </c>
    </row>
    <row r="148" spans="1:5">
      <c r="A148" s="41">
        <v>44977</v>
      </c>
      <c r="B148" s="42" t="s">
        <v>188</v>
      </c>
      <c r="C148" s="42" t="s">
        <v>192</v>
      </c>
      <c r="D148" s="42" t="s">
        <v>193</v>
      </c>
      <c r="E148" s="43">
        <v>490</v>
      </c>
    </row>
    <row r="149" spans="1:5">
      <c r="A149" s="41">
        <v>44981</v>
      </c>
      <c r="B149" s="42" t="s">
        <v>176</v>
      </c>
      <c r="C149" s="42" t="s">
        <v>177</v>
      </c>
      <c r="D149" s="42" t="s">
        <v>200</v>
      </c>
      <c r="E149" s="43">
        <v>3500</v>
      </c>
    </row>
    <row r="150" spans="1:5">
      <c r="A150" s="41">
        <v>44985</v>
      </c>
      <c r="B150" s="42" t="s">
        <v>182</v>
      </c>
      <c r="C150" s="42" t="s">
        <v>185</v>
      </c>
      <c r="D150" s="42" t="s">
        <v>195</v>
      </c>
      <c r="E150" s="43">
        <v>680</v>
      </c>
    </row>
    <row r="151" spans="1:5">
      <c r="A151" s="41">
        <v>44991</v>
      </c>
      <c r="B151" s="42" t="s">
        <v>182</v>
      </c>
      <c r="C151" s="42" t="s">
        <v>185</v>
      </c>
      <c r="D151" s="42" t="s">
        <v>199</v>
      </c>
      <c r="E151" s="43">
        <v>2170</v>
      </c>
    </row>
    <row r="152" spans="1:5">
      <c r="A152" s="41">
        <v>44994</v>
      </c>
      <c r="B152" s="42" t="s">
        <v>176</v>
      </c>
      <c r="C152" s="42" t="s">
        <v>177</v>
      </c>
      <c r="D152" s="42" t="s">
        <v>207</v>
      </c>
      <c r="E152" s="43">
        <v>3520</v>
      </c>
    </row>
    <row r="153" spans="1:5">
      <c r="A153" s="41">
        <v>44994</v>
      </c>
      <c r="B153" s="42" t="s">
        <v>176</v>
      </c>
      <c r="C153" s="42" t="s">
        <v>177</v>
      </c>
      <c r="D153" s="42" t="s">
        <v>200</v>
      </c>
      <c r="E153" s="43">
        <v>3330</v>
      </c>
    </row>
    <row r="154" spans="1:5">
      <c r="A154" s="41">
        <v>44995</v>
      </c>
      <c r="B154" s="42" t="s">
        <v>182</v>
      </c>
      <c r="C154" s="42" t="s">
        <v>185</v>
      </c>
      <c r="D154" s="42" t="s">
        <v>184</v>
      </c>
      <c r="E154" s="43">
        <v>3180</v>
      </c>
    </row>
    <row r="155" spans="1:5">
      <c r="A155" s="41">
        <v>44998</v>
      </c>
      <c r="B155" s="42" t="s">
        <v>182</v>
      </c>
      <c r="C155" s="42" t="s">
        <v>183</v>
      </c>
      <c r="D155" s="42" t="s">
        <v>184</v>
      </c>
      <c r="E155" s="43">
        <v>9000</v>
      </c>
    </row>
    <row r="156" spans="1:5">
      <c r="A156" s="41">
        <v>45003</v>
      </c>
      <c r="B156" s="42" t="s">
        <v>182</v>
      </c>
      <c r="C156" s="42" t="s">
        <v>183</v>
      </c>
      <c r="D156" s="42" t="s">
        <v>199</v>
      </c>
      <c r="E156" s="43">
        <v>5610</v>
      </c>
    </row>
    <row r="157" spans="1:5">
      <c r="A157" s="41">
        <v>45014</v>
      </c>
      <c r="B157" s="42" t="s">
        <v>188</v>
      </c>
      <c r="C157" s="42" t="s">
        <v>192</v>
      </c>
      <c r="D157" s="42" t="s">
        <v>193</v>
      </c>
      <c r="E157" s="43">
        <v>4060</v>
      </c>
    </row>
    <row r="158" spans="1:5">
      <c r="A158" s="41">
        <v>45015</v>
      </c>
      <c r="B158" s="42" t="s">
        <v>176</v>
      </c>
      <c r="C158" s="42" t="s">
        <v>177</v>
      </c>
      <c r="D158" s="42" t="s">
        <v>207</v>
      </c>
      <c r="E158" s="43">
        <v>6670</v>
      </c>
    </row>
    <row r="159" spans="1:5">
      <c r="A159" s="41">
        <v>45015</v>
      </c>
      <c r="B159" s="42" t="s">
        <v>176</v>
      </c>
      <c r="C159" s="42" t="s">
        <v>177</v>
      </c>
      <c r="D159" s="42" t="s">
        <v>207</v>
      </c>
      <c r="E159" s="43">
        <v>2770</v>
      </c>
    </row>
    <row r="160" spans="1:5">
      <c r="A160" s="44" t="s">
        <v>214</v>
      </c>
      <c r="B160" s="45"/>
      <c r="C160" s="45"/>
      <c r="D160" s="45"/>
      <c r="E160" s="46">
        <f>SUM(E126:E159)</f>
        <v>156730</v>
      </c>
    </row>
    <row r="161" spans="1:5">
      <c r="A161" s="41">
        <v>45017</v>
      </c>
      <c r="B161" s="42" t="s">
        <v>188</v>
      </c>
      <c r="C161" s="42" t="s">
        <v>189</v>
      </c>
      <c r="D161" s="42" t="s">
        <v>194</v>
      </c>
      <c r="E161" s="43">
        <v>3520</v>
      </c>
    </row>
    <row r="162" spans="1:5">
      <c r="A162" s="41">
        <v>45017</v>
      </c>
      <c r="B162" s="42" t="s">
        <v>182</v>
      </c>
      <c r="C162" s="42" t="s">
        <v>185</v>
      </c>
      <c r="D162" s="42" t="s">
        <v>186</v>
      </c>
      <c r="E162" s="43">
        <v>7650</v>
      </c>
    </row>
    <row r="163" spans="1:5">
      <c r="A163" s="41">
        <v>45018</v>
      </c>
      <c r="B163" s="42" t="s">
        <v>176</v>
      </c>
      <c r="C163" s="42" t="s">
        <v>187</v>
      </c>
      <c r="D163" s="42" t="s">
        <v>178</v>
      </c>
      <c r="E163" s="43">
        <v>3200</v>
      </c>
    </row>
    <row r="164" spans="1:5">
      <c r="A164" s="41">
        <v>45020</v>
      </c>
      <c r="B164" s="42" t="s">
        <v>176</v>
      </c>
      <c r="C164" s="42" t="s">
        <v>187</v>
      </c>
      <c r="D164" s="42" t="s">
        <v>191</v>
      </c>
      <c r="E164" s="43">
        <v>870</v>
      </c>
    </row>
    <row r="165" spans="1:5">
      <c r="A165" s="41">
        <v>45022</v>
      </c>
      <c r="B165" s="42" t="s">
        <v>176</v>
      </c>
      <c r="C165" s="42" t="s">
        <v>177</v>
      </c>
      <c r="D165" s="42" t="s">
        <v>178</v>
      </c>
      <c r="E165" s="43">
        <v>2500</v>
      </c>
    </row>
    <row r="166" spans="1:5">
      <c r="A166" s="41">
        <v>45025</v>
      </c>
      <c r="B166" s="42" t="s">
        <v>176</v>
      </c>
      <c r="C166" s="42" t="s">
        <v>177</v>
      </c>
      <c r="D166" s="42" t="s">
        <v>207</v>
      </c>
      <c r="E166" s="43">
        <v>4330</v>
      </c>
    </row>
    <row r="167" spans="1:5">
      <c r="A167" s="41">
        <v>45026</v>
      </c>
      <c r="B167" s="42" t="s">
        <v>188</v>
      </c>
      <c r="C167" s="42" t="s">
        <v>189</v>
      </c>
      <c r="D167" s="42" t="s">
        <v>197</v>
      </c>
      <c r="E167" s="43">
        <v>3460</v>
      </c>
    </row>
    <row r="168" spans="1:5">
      <c r="A168" s="41">
        <v>45026</v>
      </c>
      <c r="B168" s="42" t="s">
        <v>182</v>
      </c>
      <c r="C168" s="42" t="s">
        <v>185</v>
      </c>
      <c r="D168" s="42" t="s">
        <v>184</v>
      </c>
      <c r="E168" s="43">
        <v>5490</v>
      </c>
    </row>
    <row r="169" spans="1:5">
      <c r="A169" s="41">
        <v>45036</v>
      </c>
      <c r="B169" s="42" t="s">
        <v>188</v>
      </c>
      <c r="C169" s="42" t="s">
        <v>189</v>
      </c>
      <c r="D169" s="42" t="s">
        <v>202</v>
      </c>
      <c r="E169" s="43">
        <v>8950</v>
      </c>
    </row>
    <row r="170" spans="1:5">
      <c r="A170" s="41">
        <v>45037</v>
      </c>
      <c r="B170" s="42" t="s">
        <v>182</v>
      </c>
      <c r="C170" s="42" t="s">
        <v>183</v>
      </c>
      <c r="D170" s="42" t="s">
        <v>184</v>
      </c>
      <c r="E170" s="43">
        <v>2900</v>
      </c>
    </row>
    <row r="171" spans="1:5">
      <c r="A171" s="41">
        <v>45038</v>
      </c>
      <c r="B171" s="42" t="s">
        <v>176</v>
      </c>
      <c r="C171" s="42" t="s">
        <v>187</v>
      </c>
      <c r="D171" s="42" t="s">
        <v>206</v>
      </c>
      <c r="E171" s="43">
        <v>6000</v>
      </c>
    </row>
    <row r="172" spans="1:5">
      <c r="A172" s="41">
        <v>45041</v>
      </c>
      <c r="B172" s="42" t="s">
        <v>188</v>
      </c>
      <c r="C172" s="42" t="s">
        <v>189</v>
      </c>
      <c r="D172" s="42" t="s">
        <v>193</v>
      </c>
      <c r="E172" s="43">
        <v>440</v>
      </c>
    </row>
    <row r="173" spans="1:5">
      <c r="A173" s="41">
        <v>45045</v>
      </c>
      <c r="B173" s="42" t="s">
        <v>182</v>
      </c>
      <c r="C173" s="42" t="s">
        <v>185</v>
      </c>
      <c r="D173" s="42" t="s">
        <v>195</v>
      </c>
      <c r="E173" s="43">
        <v>4360</v>
      </c>
    </row>
    <row r="174" spans="1:5">
      <c r="A174" s="41">
        <v>45046</v>
      </c>
      <c r="B174" s="42" t="s">
        <v>176</v>
      </c>
      <c r="C174" s="42" t="s">
        <v>187</v>
      </c>
      <c r="D174" s="42" t="s">
        <v>191</v>
      </c>
      <c r="E174" s="43">
        <v>5620</v>
      </c>
    </row>
    <row r="175" spans="1:5">
      <c r="A175" s="41">
        <v>45047</v>
      </c>
      <c r="B175" s="42" t="s">
        <v>182</v>
      </c>
      <c r="C175" s="42" t="s">
        <v>183</v>
      </c>
      <c r="D175" s="42" t="s">
        <v>205</v>
      </c>
      <c r="E175" s="43">
        <v>5090</v>
      </c>
    </row>
    <row r="176" spans="1:5">
      <c r="A176" s="41">
        <v>45048</v>
      </c>
      <c r="B176" s="42" t="s">
        <v>182</v>
      </c>
      <c r="C176" s="42" t="s">
        <v>185</v>
      </c>
      <c r="D176" s="42" t="s">
        <v>204</v>
      </c>
      <c r="E176" s="43">
        <v>5280</v>
      </c>
    </row>
    <row r="177" spans="1:5">
      <c r="A177" s="41">
        <v>45048</v>
      </c>
      <c r="B177" s="42" t="s">
        <v>176</v>
      </c>
      <c r="C177" s="42" t="s">
        <v>187</v>
      </c>
      <c r="D177" s="42" t="s">
        <v>207</v>
      </c>
      <c r="E177" s="43">
        <v>3680</v>
      </c>
    </row>
    <row r="178" spans="1:5">
      <c r="A178" s="41">
        <v>45048</v>
      </c>
      <c r="B178" s="42" t="s">
        <v>182</v>
      </c>
      <c r="C178" s="42" t="s">
        <v>185</v>
      </c>
      <c r="D178" s="42" t="s">
        <v>195</v>
      </c>
      <c r="E178" s="43">
        <v>1460</v>
      </c>
    </row>
    <row r="179" spans="1:5">
      <c r="A179" s="41">
        <v>45048</v>
      </c>
      <c r="B179" s="42" t="s">
        <v>176</v>
      </c>
      <c r="C179" s="42" t="s">
        <v>187</v>
      </c>
      <c r="D179" s="42" t="s">
        <v>208</v>
      </c>
      <c r="E179" s="43">
        <v>5200</v>
      </c>
    </row>
    <row r="180" spans="1:5">
      <c r="A180" s="41">
        <v>45052</v>
      </c>
      <c r="B180" s="42" t="s">
        <v>176</v>
      </c>
      <c r="C180" s="42" t="s">
        <v>187</v>
      </c>
      <c r="D180" s="42" t="s">
        <v>178</v>
      </c>
      <c r="E180" s="43">
        <v>3200</v>
      </c>
    </row>
    <row r="181" spans="1:5">
      <c r="A181" s="41">
        <v>45061</v>
      </c>
      <c r="B181" s="42" t="s">
        <v>176</v>
      </c>
      <c r="C181" s="42" t="s">
        <v>177</v>
      </c>
      <c r="D181" s="42" t="s">
        <v>191</v>
      </c>
      <c r="E181" s="43">
        <v>4450</v>
      </c>
    </row>
    <row r="182" spans="1:5">
      <c r="A182" s="41">
        <v>45063</v>
      </c>
      <c r="B182" s="42" t="s">
        <v>182</v>
      </c>
      <c r="C182" s="42" t="s">
        <v>185</v>
      </c>
      <c r="D182" s="42" t="s">
        <v>199</v>
      </c>
      <c r="E182" s="43">
        <v>7580</v>
      </c>
    </row>
    <row r="183" spans="1:5">
      <c r="A183" s="41">
        <v>45063</v>
      </c>
      <c r="B183" s="42" t="s">
        <v>176</v>
      </c>
      <c r="C183" s="42" t="s">
        <v>177</v>
      </c>
      <c r="D183" s="42" t="s">
        <v>191</v>
      </c>
      <c r="E183" s="43">
        <v>4340</v>
      </c>
    </row>
    <row r="184" spans="1:5">
      <c r="A184" s="41">
        <v>45073</v>
      </c>
      <c r="B184" s="42" t="s">
        <v>176</v>
      </c>
      <c r="C184" s="42" t="s">
        <v>187</v>
      </c>
      <c r="D184" s="42" t="s">
        <v>178</v>
      </c>
      <c r="E184" s="43">
        <v>6730</v>
      </c>
    </row>
    <row r="185" spans="1:5">
      <c r="A185" s="41">
        <v>45076</v>
      </c>
      <c r="B185" s="42" t="s">
        <v>182</v>
      </c>
      <c r="C185" s="42" t="s">
        <v>183</v>
      </c>
      <c r="D185" s="42" t="s">
        <v>204</v>
      </c>
      <c r="E185" s="43">
        <v>9650</v>
      </c>
    </row>
    <row r="186" spans="1:5">
      <c r="A186" s="41">
        <v>45078</v>
      </c>
      <c r="B186" s="42" t="s">
        <v>188</v>
      </c>
      <c r="C186" s="42" t="s">
        <v>192</v>
      </c>
      <c r="D186" s="42" t="s">
        <v>193</v>
      </c>
      <c r="E186" s="43">
        <v>3200</v>
      </c>
    </row>
    <row r="187" spans="1:5">
      <c r="A187" s="41">
        <v>45078</v>
      </c>
      <c r="B187" s="42" t="s">
        <v>176</v>
      </c>
      <c r="C187" s="42" t="s">
        <v>187</v>
      </c>
      <c r="D187" s="42" t="s">
        <v>207</v>
      </c>
      <c r="E187" s="43">
        <v>2270</v>
      </c>
    </row>
    <row r="188" spans="1:5">
      <c r="A188" s="41">
        <v>45079</v>
      </c>
      <c r="B188" s="42" t="s">
        <v>182</v>
      </c>
      <c r="C188" s="42" t="s">
        <v>185</v>
      </c>
      <c r="D188" s="42" t="s">
        <v>205</v>
      </c>
      <c r="E188" s="43">
        <v>990</v>
      </c>
    </row>
    <row r="189" spans="1:5">
      <c r="A189" s="41">
        <v>45082</v>
      </c>
      <c r="B189" s="42" t="s">
        <v>188</v>
      </c>
      <c r="C189" s="42" t="s">
        <v>189</v>
      </c>
      <c r="D189" s="42" t="s">
        <v>190</v>
      </c>
      <c r="E189" s="43">
        <v>3080</v>
      </c>
    </row>
    <row r="190" spans="1:5">
      <c r="A190" s="41">
        <v>45087</v>
      </c>
      <c r="B190" s="42" t="s">
        <v>188</v>
      </c>
      <c r="C190" s="42" t="s">
        <v>189</v>
      </c>
      <c r="D190" s="42" t="s">
        <v>193</v>
      </c>
      <c r="E190" s="43">
        <v>830</v>
      </c>
    </row>
    <row r="191" spans="1:5">
      <c r="A191" s="41">
        <v>45087</v>
      </c>
      <c r="B191" s="42" t="s">
        <v>188</v>
      </c>
      <c r="C191" s="42" t="s">
        <v>189</v>
      </c>
      <c r="D191" s="42" t="s">
        <v>201</v>
      </c>
      <c r="E191" s="43">
        <v>3470</v>
      </c>
    </row>
    <row r="192" spans="1:5">
      <c r="A192" s="41">
        <v>45088</v>
      </c>
      <c r="B192" s="42" t="s">
        <v>188</v>
      </c>
      <c r="C192" s="42" t="s">
        <v>192</v>
      </c>
      <c r="D192" s="42" t="s">
        <v>202</v>
      </c>
      <c r="E192" s="43">
        <v>9260</v>
      </c>
    </row>
    <row r="193" spans="1:5">
      <c r="A193" s="41">
        <v>45089</v>
      </c>
      <c r="B193" s="42" t="s">
        <v>188</v>
      </c>
      <c r="C193" s="42" t="s">
        <v>189</v>
      </c>
      <c r="D193" s="42" t="s">
        <v>197</v>
      </c>
      <c r="E193" s="43">
        <v>7980</v>
      </c>
    </row>
    <row r="194" spans="1:5">
      <c r="A194" s="41">
        <v>45089</v>
      </c>
      <c r="B194" s="42" t="s">
        <v>188</v>
      </c>
      <c r="C194" s="42" t="s">
        <v>189</v>
      </c>
      <c r="D194" s="42" t="s">
        <v>193</v>
      </c>
      <c r="E194" s="43">
        <v>5780</v>
      </c>
    </row>
    <row r="195" spans="1:5">
      <c r="A195" s="41">
        <v>45090</v>
      </c>
      <c r="B195" s="42" t="s">
        <v>188</v>
      </c>
      <c r="C195" s="42" t="s">
        <v>189</v>
      </c>
      <c r="D195" s="42" t="s">
        <v>194</v>
      </c>
      <c r="E195" s="43">
        <v>2690</v>
      </c>
    </row>
    <row r="196" spans="1:5">
      <c r="A196" s="41">
        <v>45090</v>
      </c>
      <c r="B196" s="42" t="s">
        <v>182</v>
      </c>
      <c r="C196" s="42" t="s">
        <v>183</v>
      </c>
      <c r="D196" s="42" t="s">
        <v>205</v>
      </c>
      <c r="E196" s="43">
        <v>7460</v>
      </c>
    </row>
    <row r="197" spans="1:5">
      <c r="A197" s="41">
        <v>45093</v>
      </c>
      <c r="B197" s="42" t="s">
        <v>182</v>
      </c>
      <c r="C197" s="42" t="s">
        <v>185</v>
      </c>
      <c r="D197" s="42" t="s">
        <v>195</v>
      </c>
      <c r="E197" s="43">
        <v>6780</v>
      </c>
    </row>
    <row r="198" spans="1:5">
      <c r="A198" s="41">
        <v>45094</v>
      </c>
      <c r="B198" s="42" t="s">
        <v>182</v>
      </c>
      <c r="C198" s="42" t="s">
        <v>185</v>
      </c>
      <c r="D198" s="42" t="s">
        <v>205</v>
      </c>
      <c r="E198" s="43">
        <v>2760</v>
      </c>
    </row>
    <row r="199" spans="1:5">
      <c r="A199" s="41">
        <v>45095</v>
      </c>
      <c r="B199" s="42" t="s">
        <v>182</v>
      </c>
      <c r="C199" s="42" t="s">
        <v>183</v>
      </c>
      <c r="D199" s="42" t="s">
        <v>186</v>
      </c>
      <c r="E199" s="43">
        <v>8880</v>
      </c>
    </row>
    <row r="200" spans="1:5">
      <c r="A200" s="41">
        <v>45104</v>
      </c>
      <c r="B200" s="42" t="s">
        <v>188</v>
      </c>
      <c r="C200" s="42" t="s">
        <v>189</v>
      </c>
      <c r="D200" s="42" t="s">
        <v>194</v>
      </c>
      <c r="E200" s="43">
        <v>8860</v>
      </c>
    </row>
    <row r="201" spans="1:5">
      <c r="A201" s="44" t="s">
        <v>215</v>
      </c>
      <c r="B201" s="45"/>
      <c r="C201" s="45"/>
      <c r="D201" s="45"/>
      <c r="E201" s="46">
        <f>SUM(E161:E200)</f>
        <v>190240</v>
      </c>
    </row>
    <row r="202" spans="1:5" ht="15" thickBot="1">
      <c r="A202" s="47" t="s">
        <v>216</v>
      </c>
      <c r="B202" s="48"/>
      <c r="C202" s="48"/>
      <c r="D202" s="48"/>
      <c r="E202" s="49">
        <f>E201+E160</f>
        <v>346970</v>
      </c>
    </row>
    <row r="203" spans="1:5">
      <c r="A203" s="50">
        <v>45113</v>
      </c>
      <c r="B203" s="51" t="s">
        <v>182</v>
      </c>
      <c r="C203" s="51" t="s">
        <v>183</v>
      </c>
      <c r="D203" s="51" t="s">
        <v>205</v>
      </c>
      <c r="E203" s="52">
        <v>170</v>
      </c>
    </row>
    <row r="204" spans="1:5">
      <c r="A204" s="41">
        <v>45118</v>
      </c>
      <c r="B204" s="42" t="s">
        <v>188</v>
      </c>
      <c r="C204" s="42" t="s">
        <v>192</v>
      </c>
      <c r="D204" s="42" t="s">
        <v>194</v>
      </c>
      <c r="E204" s="43">
        <v>6820</v>
      </c>
    </row>
    <row r="205" spans="1:5">
      <c r="A205" s="41">
        <v>45120</v>
      </c>
      <c r="B205" s="42" t="s">
        <v>182</v>
      </c>
      <c r="C205" s="42" t="s">
        <v>183</v>
      </c>
      <c r="D205" s="42" t="s">
        <v>186</v>
      </c>
      <c r="E205" s="43">
        <v>5650</v>
      </c>
    </row>
    <row r="206" spans="1:5">
      <c r="A206" s="41">
        <v>45125</v>
      </c>
      <c r="B206" s="42" t="s">
        <v>176</v>
      </c>
      <c r="C206" s="42" t="s">
        <v>187</v>
      </c>
      <c r="D206" s="42" t="s">
        <v>178</v>
      </c>
      <c r="E206" s="43">
        <v>6820</v>
      </c>
    </row>
    <row r="207" spans="1:5">
      <c r="A207" s="41">
        <v>45129</v>
      </c>
      <c r="B207" s="42" t="s">
        <v>188</v>
      </c>
      <c r="C207" s="42" t="s">
        <v>189</v>
      </c>
      <c r="D207" s="42" t="s">
        <v>194</v>
      </c>
      <c r="E207" s="43">
        <v>3090</v>
      </c>
    </row>
    <row r="208" spans="1:5">
      <c r="A208" s="41">
        <v>45132</v>
      </c>
      <c r="B208" s="42" t="s">
        <v>182</v>
      </c>
      <c r="C208" s="42" t="s">
        <v>183</v>
      </c>
      <c r="D208" s="42" t="s">
        <v>186</v>
      </c>
      <c r="E208" s="43">
        <v>2020</v>
      </c>
    </row>
    <row r="209" spans="1:5">
      <c r="A209" s="41">
        <v>45133</v>
      </c>
      <c r="B209" s="42" t="s">
        <v>188</v>
      </c>
      <c r="C209" s="42" t="s">
        <v>189</v>
      </c>
      <c r="D209" s="42" t="s">
        <v>201</v>
      </c>
      <c r="E209" s="43">
        <v>6840</v>
      </c>
    </row>
    <row r="210" spans="1:5">
      <c r="A210" s="41">
        <v>45134</v>
      </c>
      <c r="B210" s="42" t="s">
        <v>176</v>
      </c>
      <c r="C210" s="42" t="s">
        <v>177</v>
      </c>
      <c r="D210" s="42" t="s">
        <v>191</v>
      </c>
      <c r="E210" s="43">
        <v>6200</v>
      </c>
    </row>
    <row r="211" spans="1:5">
      <c r="A211" s="41">
        <v>45135</v>
      </c>
      <c r="B211" s="42" t="s">
        <v>176</v>
      </c>
      <c r="C211" s="42" t="s">
        <v>187</v>
      </c>
      <c r="D211" s="42" t="s">
        <v>191</v>
      </c>
      <c r="E211" s="43">
        <v>5620</v>
      </c>
    </row>
    <row r="212" spans="1:5">
      <c r="A212" s="41">
        <v>45137</v>
      </c>
      <c r="B212" s="42" t="s">
        <v>176</v>
      </c>
      <c r="C212" s="42" t="s">
        <v>187</v>
      </c>
      <c r="D212" s="42" t="s">
        <v>208</v>
      </c>
      <c r="E212" s="43">
        <v>7220</v>
      </c>
    </row>
    <row r="213" spans="1:5">
      <c r="A213" s="41">
        <v>45140</v>
      </c>
      <c r="B213" s="42" t="s">
        <v>188</v>
      </c>
      <c r="C213" s="42" t="s">
        <v>189</v>
      </c>
      <c r="D213" s="42" t="s">
        <v>202</v>
      </c>
      <c r="E213" s="43">
        <v>4080</v>
      </c>
    </row>
    <row r="214" spans="1:5">
      <c r="A214" s="41">
        <v>45142</v>
      </c>
      <c r="B214" s="42" t="s">
        <v>176</v>
      </c>
      <c r="C214" s="42" t="s">
        <v>187</v>
      </c>
      <c r="D214" s="42" t="s">
        <v>206</v>
      </c>
      <c r="E214" s="43">
        <v>4200</v>
      </c>
    </row>
    <row r="215" spans="1:5">
      <c r="A215" s="41">
        <v>45143</v>
      </c>
      <c r="B215" s="42" t="s">
        <v>182</v>
      </c>
      <c r="C215" s="42" t="s">
        <v>185</v>
      </c>
      <c r="D215" s="42" t="s">
        <v>184</v>
      </c>
      <c r="E215" s="43">
        <v>8180</v>
      </c>
    </row>
    <row r="216" spans="1:5">
      <c r="A216" s="41">
        <v>45143</v>
      </c>
      <c r="B216" s="42" t="s">
        <v>176</v>
      </c>
      <c r="C216" s="42" t="s">
        <v>177</v>
      </c>
      <c r="D216" s="42" t="s">
        <v>207</v>
      </c>
      <c r="E216" s="43">
        <v>2650</v>
      </c>
    </row>
    <row r="217" spans="1:5">
      <c r="A217" s="41">
        <v>45150</v>
      </c>
      <c r="B217" s="42" t="s">
        <v>182</v>
      </c>
      <c r="C217" s="42" t="s">
        <v>183</v>
      </c>
      <c r="D217" s="42" t="s">
        <v>186</v>
      </c>
      <c r="E217" s="43">
        <v>8460</v>
      </c>
    </row>
    <row r="218" spans="1:5">
      <c r="A218" s="41">
        <v>45151</v>
      </c>
      <c r="B218" s="42" t="s">
        <v>176</v>
      </c>
      <c r="C218" s="42" t="s">
        <v>177</v>
      </c>
      <c r="D218" s="42" t="s">
        <v>191</v>
      </c>
      <c r="E218" s="43">
        <v>4940</v>
      </c>
    </row>
    <row r="219" spans="1:5">
      <c r="A219" s="41">
        <v>45154</v>
      </c>
      <c r="B219" s="42" t="s">
        <v>188</v>
      </c>
      <c r="C219" s="42" t="s">
        <v>192</v>
      </c>
      <c r="D219" s="42" t="s">
        <v>201</v>
      </c>
      <c r="E219" s="43">
        <v>9080</v>
      </c>
    </row>
    <row r="220" spans="1:5">
      <c r="A220" s="41">
        <v>45154</v>
      </c>
      <c r="B220" s="42" t="s">
        <v>182</v>
      </c>
      <c r="C220" s="42" t="s">
        <v>183</v>
      </c>
      <c r="D220" s="42" t="s">
        <v>186</v>
      </c>
      <c r="E220" s="43">
        <v>5900</v>
      </c>
    </row>
    <row r="221" spans="1:5">
      <c r="A221" s="41">
        <v>45156</v>
      </c>
      <c r="B221" s="42" t="s">
        <v>176</v>
      </c>
      <c r="C221" s="42" t="s">
        <v>177</v>
      </c>
      <c r="D221" s="42" t="s">
        <v>207</v>
      </c>
      <c r="E221" s="43">
        <v>5200</v>
      </c>
    </row>
    <row r="222" spans="1:5">
      <c r="A222" s="41">
        <v>45157</v>
      </c>
      <c r="B222" s="42" t="s">
        <v>176</v>
      </c>
      <c r="C222" s="42" t="s">
        <v>177</v>
      </c>
      <c r="D222" s="42" t="s">
        <v>207</v>
      </c>
      <c r="E222" s="43">
        <v>5640</v>
      </c>
    </row>
    <row r="223" spans="1:5">
      <c r="A223" s="41">
        <v>45158</v>
      </c>
      <c r="B223" s="42" t="s">
        <v>188</v>
      </c>
      <c r="C223" s="42" t="s">
        <v>189</v>
      </c>
      <c r="D223" s="42" t="s">
        <v>194</v>
      </c>
      <c r="E223" s="43">
        <v>6400</v>
      </c>
    </row>
    <row r="224" spans="1:5">
      <c r="A224" s="41">
        <v>45159</v>
      </c>
      <c r="B224" s="42" t="s">
        <v>188</v>
      </c>
      <c r="C224" s="42" t="s">
        <v>189</v>
      </c>
      <c r="D224" s="42" t="s">
        <v>194</v>
      </c>
      <c r="E224" s="43">
        <v>2180</v>
      </c>
    </row>
    <row r="225" spans="1:5">
      <c r="A225" s="41">
        <v>45163</v>
      </c>
      <c r="B225" s="42" t="s">
        <v>188</v>
      </c>
      <c r="C225" s="42" t="s">
        <v>189</v>
      </c>
      <c r="D225" s="42" t="s">
        <v>193</v>
      </c>
      <c r="E225" s="43">
        <v>6040</v>
      </c>
    </row>
    <row r="226" spans="1:5">
      <c r="A226" s="41">
        <v>45165</v>
      </c>
      <c r="B226" s="42" t="s">
        <v>188</v>
      </c>
      <c r="C226" s="42" t="s">
        <v>192</v>
      </c>
      <c r="D226" s="42" t="s">
        <v>197</v>
      </c>
      <c r="E226" s="43">
        <v>9750</v>
      </c>
    </row>
    <row r="227" spans="1:5">
      <c r="A227" s="41">
        <v>45167</v>
      </c>
      <c r="B227" s="42" t="s">
        <v>182</v>
      </c>
      <c r="C227" s="42" t="s">
        <v>185</v>
      </c>
      <c r="D227" s="42" t="s">
        <v>205</v>
      </c>
      <c r="E227" s="43">
        <v>9300</v>
      </c>
    </row>
    <row r="228" spans="1:5">
      <c r="A228" s="41">
        <v>45169</v>
      </c>
      <c r="B228" s="42" t="s">
        <v>188</v>
      </c>
      <c r="C228" s="42" t="s">
        <v>189</v>
      </c>
      <c r="D228" s="42" t="s">
        <v>202</v>
      </c>
      <c r="E228" s="43">
        <v>1100</v>
      </c>
    </row>
    <row r="229" spans="1:5">
      <c r="A229" s="41">
        <v>45169</v>
      </c>
      <c r="B229" s="42" t="s">
        <v>182</v>
      </c>
      <c r="C229" s="42" t="s">
        <v>183</v>
      </c>
      <c r="D229" s="42" t="s">
        <v>195</v>
      </c>
      <c r="E229" s="43">
        <v>9680</v>
      </c>
    </row>
    <row r="230" spans="1:5">
      <c r="A230" s="41">
        <v>45169</v>
      </c>
      <c r="B230" s="42" t="s">
        <v>188</v>
      </c>
      <c r="C230" s="42" t="s">
        <v>189</v>
      </c>
      <c r="D230" s="42" t="s">
        <v>202</v>
      </c>
      <c r="E230" s="43">
        <v>3420</v>
      </c>
    </row>
    <row r="231" spans="1:5">
      <c r="A231" s="41">
        <v>45172</v>
      </c>
      <c r="B231" s="42" t="s">
        <v>176</v>
      </c>
      <c r="C231" s="42" t="s">
        <v>177</v>
      </c>
      <c r="D231" s="42" t="s">
        <v>206</v>
      </c>
      <c r="E231" s="43">
        <v>3200</v>
      </c>
    </row>
    <row r="232" spans="1:5">
      <c r="A232" s="41">
        <v>45173</v>
      </c>
      <c r="B232" s="42" t="s">
        <v>182</v>
      </c>
      <c r="C232" s="42" t="s">
        <v>183</v>
      </c>
      <c r="D232" s="42" t="s">
        <v>186</v>
      </c>
      <c r="E232" s="43">
        <v>2290</v>
      </c>
    </row>
    <row r="233" spans="1:5">
      <c r="A233" s="41">
        <v>45175</v>
      </c>
      <c r="B233" s="42" t="s">
        <v>188</v>
      </c>
      <c r="C233" s="42" t="s">
        <v>189</v>
      </c>
      <c r="D233" s="42" t="s">
        <v>202</v>
      </c>
      <c r="E233" s="43">
        <v>7420</v>
      </c>
    </row>
    <row r="234" spans="1:5">
      <c r="A234" s="41">
        <v>45175</v>
      </c>
      <c r="B234" s="42" t="s">
        <v>188</v>
      </c>
      <c r="C234" s="42" t="s">
        <v>192</v>
      </c>
      <c r="D234" s="42" t="s">
        <v>193</v>
      </c>
      <c r="E234" s="43">
        <v>8880</v>
      </c>
    </row>
    <row r="235" spans="1:5">
      <c r="A235" s="41">
        <v>45178</v>
      </c>
      <c r="B235" s="42" t="s">
        <v>182</v>
      </c>
      <c r="C235" s="42" t="s">
        <v>183</v>
      </c>
      <c r="D235" s="42" t="s">
        <v>204</v>
      </c>
      <c r="E235" s="43">
        <v>5780</v>
      </c>
    </row>
    <row r="236" spans="1:5">
      <c r="A236" s="41">
        <v>45179</v>
      </c>
      <c r="B236" s="42" t="s">
        <v>182</v>
      </c>
      <c r="C236" s="42" t="s">
        <v>185</v>
      </c>
      <c r="D236" s="42" t="s">
        <v>184</v>
      </c>
      <c r="E236" s="43">
        <v>5650</v>
      </c>
    </row>
    <row r="237" spans="1:5">
      <c r="A237" s="41">
        <v>45184</v>
      </c>
      <c r="B237" s="42" t="s">
        <v>176</v>
      </c>
      <c r="C237" s="42" t="s">
        <v>187</v>
      </c>
      <c r="D237" s="42" t="s">
        <v>207</v>
      </c>
      <c r="E237" s="43">
        <v>2420</v>
      </c>
    </row>
    <row r="238" spans="1:5">
      <c r="A238" s="41">
        <v>45185</v>
      </c>
      <c r="B238" s="42" t="s">
        <v>176</v>
      </c>
      <c r="C238" s="42" t="s">
        <v>187</v>
      </c>
      <c r="D238" s="42" t="s">
        <v>206</v>
      </c>
      <c r="E238" s="43">
        <v>4820</v>
      </c>
    </row>
    <row r="239" spans="1:5">
      <c r="A239" s="41">
        <v>45187</v>
      </c>
      <c r="B239" s="42" t="s">
        <v>182</v>
      </c>
      <c r="C239" s="42" t="s">
        <v>183</v>
      </c>
      <c r="D239" s="42" t="s">
        <v>186</v>
      </c>
      <c r="E239" s="43">
        <v>7600</v>
      </c>
    </row>
    <row r="240" spans="1:5">
      <c r="A240" s="41">
        <v>45189</v>
      </c>
      <c r="B240" s="42" t="s">
        <v>182</v>
      </c>
      <c r="C240" s="42" t="s">
        <v>183</v>
      </c>
      <c r="D240" s="42" t="s">
        <v>204</v>
      </c>
      <c r="E240" s="43">
        <v>7160</v>
      </c>
    </row>
    <row r="241" spans="1:5">
      <c r="A241" s="41">
        <v>45191</v>
      </c>
      <c r="B241" s="42" t="s">
        <v>188</v>
      </c>
      <c r="C241" s="42" t="s">
        <v>192</v>
      </c>
      <c r="D241" s="42" t="s">
        <v>201</v>
      </c>
      <c r="E241" s="43">
        <v>3630</v>
      </c>
    </row>
    <row r="242" spans="1:5">
      <c r="A242" s="41">
        <v>45193</v>
      </c>
      <c r="B242" s="42" t="s">
        <v>176</v>
      </c>
      <c r="C242" s="42" t="s">
        <v>187</v>
      </c>
      <c r="D242" s="42" t="s">
        <v>207</v>
      </c>
      <c r="E242" s="43">
        <v>1730</v>
      </c>
    </row>
    <row r="243" spans="1:5">
      <c r="A243" s="41">
        <v>45196</v>
      </c>
      <c r="B243" s="42" t="s">
        <v>188</v>
      </c>
      <c r="C243" s="42" t="s">
        <v>189</v>
      </c>
      <c r="D243" s="42" t="s">
        <v>197</v>
      </c>
      <c r="E243" s="43">
        <v>7870</v>
      </c>
    </row>
    <row r="244" spans="1:5">
      <c r="A244" s="44" t="s">
        <v>217</v>
      </c>
      <c r="B244" s="45"/>
      <c r="C244" s="45"/>
      <c r="D244" s="45"/>
      <c r="E244" s="46">
        <f>SUM(E203:E243)</f>
        <v>225100</v>
      </c>
    </row>
    <row r="245" spans="1:5">
      <c r="A245" s="41">
        <v>45201</v>
      </c>
      <c r="B245" s="42" t="s">
        <v>176</v>
      </c>
      <c r="C245" s="42" t="s">
        <v>177</v>
      </c>
      <c r="D245" s="42" t="s">
        <v>207</v>
      </c>
      <c r="E245" s="43">
        <v>3380</v>
      </c>
    </row>
    <row r="246" spans="1:5">
      <c r="A246" s="41">
        <v>45201</v>
      </c>
      <c r="B246" s="42" t="s">
        <v>176</v>
      </c>
      <c r="C246" s="42" t="s">
        <v>177</v>
      </c>
      <c r="D246" s="42" t="s">
        <v>200</v>
      </c>
      <c r="E246" s="43">
        <v>2730</v>
      </c>
    </row>
    <row r="247" spans="1:5">
      <c r="A247" s="41">
        <v>45203</v>
      </c>
      <c r="B247" s="42" t="s">
        <v>182</v>
      </c>
      <c r="C247" s="42" t="s">
        <v>183</v>
      </c>
      <c r="D247" s="42" t="s">
        <v>204</v>
      </c>
      <c r="E247" s="43">
        <v>6120</v>
      </c>
    </row>
    <row r="248" spans="1:5">
      <c r="A248" s="41">
        <v>45208</v>
      </c>
      <c r="B248" s="42" t="s">
        <v>188</v>
      </c>
      <c r="C248" s="42" t="s">
        <v>192</v>
      </c>
      <c r="D248" s="42" t="s">
        <v>190</v>
      </c>
      <c r="E248" s="43">
        <v>9530</v>
      </c>
    </row>
    <row r="249" spans="1:5">
      <c r="A249" s="41">
        <v>45209</v>
      </c>
      <c r="B249" s="42" t="s">
        <v>188</v>
      </c>
      <c r="C249" s="42" t="s">
        <v>189</v>
      </c>
      <c r="D249" s="42" t="s">
        <v>201</v>
      </c>
      <c r="E249" s="43">
        <v>9430</v>
      </c>
    </row>
    <row r="250" spans="1:5">
      <c r="A250" s="41">
        <v>45209</v>
      </c>
      <c r="B250" s="42" t="s">
        <v>188</v>
      </c>
      <c r="C250" s="42" t="s">
        <v>192</v>
      </c>
      <c r="D250" s="42" t="s">
        <v>194</v>
      </c>
      <c r="E250" s="43">
        <v>7010</v>
      </c>
    </row>
    <row r="251" spans="1:5">
      <c r="A251" s="41">
        <v>45211</v>
      </c>
      <c r="B251" s="42" t="s">
        <v>182</v>
      </c>
      <c r="C251" s="42" t="s">
        <v>183</v>
      </c>
      <c r="D251" s="42" t="s">
        <v>199</v>
      </c>
      <c r="E251" s="43">
        <v>1200</v>
      </c>
    </row>
    <row r="252" spans="1:5">
      <c r="A252" s="41">
        <v>45213</v>
      </c>
      <c r="B252" s="42" t="s">
        <v>176</v>
      </c>
      <c r="C252" s="42" t="s">
        <v>187</v>
      </c>
      <c r="D252" s="42" t="s">
        <v>208</v>
      </c>
      <c r="E252" s="43">
        <v>2490</v>
      </c>
    </row>
    <row r="253" spans="1:5">
      <c r="A253" s="41">
        <v>45215</v>
      </c>
      <c r="B253" s="42" t="s">
        <v>182</v>
      </c>
      <c r="C253" s="42" t="s">
        <v>183</v>
      </c>
      <c r="D253" s="42" t="s">
        <v>205</v>
      </c>
      <c r="E253" s="43">
        <v>6190</v>
      </c>
    </row>
    <row r="254" spans="1:5">
      <c r="A254" s="41">
        <v>45220</v>
      </c>
      <c r="B254" s="42" t="s">
        <v>176</v>
      </c>
      <c r="C254" s="42" t="s">
        <v>187</v>
      </c>
      <c r="D254" s="42" t="s">
        <v>191</v>
      </c>
      <c r="E254" s="43">
        <v>150</v>
      </c>
    </row>
    <row r="255" spans="1:5">
      <c r="A255" s="41">
        <v>45220</v>
      </c>
      <c r="B255" s="42" t="s">
        <v>176</v>
      </c>
      <c r="C255" s="42" t="s">
        <v>187</v>
      </c>
      <c r="D255" s="42" t="s">
        <v>208</v>
      </c>
      <c r="E255" s="43">
        <v>3200</v>
      </c>
    </row>
    <row r="256" spans="1:5">
      <c r="A256" s="41">
        <v>45223</v>
      </c>
      <c r="B256" s="42" t="s">
        <v>176</v>
      </c>
      <c r="C256" s="42" t="s">
        <v>177</v>
      </c>
      <c r="D256" s="42" t="s">
        <v>208</v>
      </c>
      <c r="E256" s="43">
        <v>5390</v>
      </c>
    </row>
    <row r="257" spans="1:5">
      <c r="A257" s="41">
        <v>45228</v>
      </c>
      <c r="B257" s="42" t="s">
        <v>188</v>
      </c>
      <c r="C257" s="42" t="s">
        <v>189</v>
      </c>
      <c r="D257" s="42" t="s">
        <v>193</v>
      </c>
      <c r="E257" s="43">
        <v>8240</v>
      </c>
    </row>
    <row r="258" spans="1:5">
      <c r="A258" s="41">
        <v>45244</v>
      </c>
      <c r="B258" s="42" t="s">
        <v>188</v>
      </c>
      <c r="C258" s="42" t="s">
        <v>189</v>
      </c>
      <c r="D258" s="42" t="s">
        <v>193</v>
      </c>
      <c r="E258" s="43">
        <v>6280</v>
      </c>
    </row>
    <row r="259" spans="1:5">
      <c r="A259" s="41">
        <v>45250</v>
      </c>
      <c r="B259" s="42" t="s">
        <v>188</v>
      </c>
      <c r="C259" s="42" t="s">
        <v>192</v>
      </c>
      <c r="D259" s="42" t="s">
        <v>197</v>
      </c>
      <c r="E259" s="43">
        <v>2910</v>
      </c>
    </row>
    <row r="260" spans="1:5">
      <c r="A260" s="41">
        <v>45251</v>
      </c>
      <c r="B260" s="42" t="s">
        <v>176</v>
      </c>
      <c r="C260" s="42" t="s">
        <v>187</v>
      </c>
      <c r="D260" s="42" t="s">
        <v>206</v>
      </c>
      <c r="E260" s="43">
        <v>6030</v>
      </c>
    </row>
    <row r="261" spans="1:5">
      <c r="A261" s="41">
        <v>45252</v>
      </c>
      <c r="B261" s="42" t="s">
        <v>182</v>
      </c>
      <c r="C261" s="42" t="s">
        <v>183</v>
      </c>
      <c r="D261" s="42" t="s">
        <v>195</v>
      </c>
      <c r="E261" s="43">
        <v>750</v>
      </c>
    </row>
    <row r="262" spans="1:5">
      <c r="A262" s="41">
        <v>45254</v>
      </c>
      <c r="B262" s="42" t="s">
        <v>188</v>
      </c>
      <c r="C262" s="42" t="s">
        <v>189</v>
      </c>
      <c r="D262" s="42" t="s">
        <v>202</v>
      </c>
      <c r="E262" s="43">
        <v>5170</v>
      </c>
    </row>
    <row r="263" spans="1:5">
      <c r="A263" s="41">
        <v>45255</v>
      </c>
      <c r="B263" s="42" t="s">
        <v>176</v>
      </c>
      <c r="C263" s="42" t="s">
        <v>177</v>
      </c>
      <c r="D263" s="42" t="s">
        <v>200</v>
      </c>
      <c r="E263" s="43">
        <v>4200</v>
      </c>
    </row>
    <row r="264" spans="1:5">
      <c r="A264" s="41">
        <v>45257</v>
      </c>
      <c r="B264" s="42" t="s">
        <v>182</v>
      </c>
      <c r="C264" s="42" t="s">
        <v>185</v>
      </c>
      <c r="D264" s="42" t="s">
        <v>186</v>
      </c>
      <c r="E264" s="43">
        <v>8680</v>
      </c>
    </row>
    <row r="265" spans="1:5">
      <c r="A265" s="41">
        <v>45259</v>
      </c>
      <c r="B265" s="42" t="s">
        <v>182</v>
      </c>
      <c r="C265" s="42" t="s">
        <v>185</v>
      </c>
      <c r="D265" s="42" t="s">
        <v>204</v>
      </c>
      <c r="E265" s="43">
        <v>2310</v>
      </c>
    </row>
    <row r="266" spans="1:5">
      <c r="A266" s="41">
        <v>45263</v>
      </c>
      <c r="B266" s="42" t="s">
        <v>182</v>
      </c>
      <c r="C266" s="42" t="s">
        <v>183</v>
      </c>
      <c r="D266" s="42" t="s">
        <v>199</v>
      </c>
      <c r="E266" s="43">
        <v>1120</v>
      </c>
    </row>
    <row r="267" spans="1:5">
      <c r="A267" s="41">
        <v>45266</v>
      </c>
      <c r="B267" s="42" t="s">
        <v>188</v>
      </c>
      <c r="C267" s="42" t="s">
        <v>192</v>
      </c>
      <c r="D267" s="42" t="s">
        <v>197</v>
      </c>
      <c r="E267" s="43">
        <v>2170</v>
      </c>
    </row>
    <row r="268" spans="1:5">
      <c r="A268" s="41">
        <v>45266</v>
      </c>
      <c r="B268" s="42" t="s">
        <v>176</v>
      </c>
      <c r="C268" s="42" t="s">
        <v>187</v>
      </c>
      <c r="D268" s="42" t="s">
        <v>208</v>
      </c>
      <c r="E268" s="43">
        <v>6500</v>
      </c>
    </row>
    <row r="269" spans="1:5">
      <c r="A269" s="41">
        <v>45266</v>
      </c>
      <c r="B269" s="42" t="s">
        <v>182</v>
      </c>
      <c r="C269" s="42" t="s">
        <v>183</v>
      </c>
      <c r="D269" s="42" t="s">
        <v>205</v>
      </c>
      <c r="E269" s="43">
        <v>7710</v>
      </c>
    </row>
    <row r="270" spans="1:5">
      <c r="A270" s="41">
        <v>45271</v>
      </c>
      <c r="B270" s="42" t="s">
        <v>188</v>
      </c>
      <c r="C270" s="42" t="s">
        <v>192</v>
      </c>
      <c r="D270" s="42" t="s">
        <v>197</v>
      </c>
      <c r="E270" s="43">
        <v>3780</v>
      </c>
    </row>
    <row r="271" spans="1:5">
      <c r="A271" s="41">
        <v>45271</v>
      </c>
      <c r="B271" s="42" t="s">
        <v>188</v>
      </c>
      <c r="C271" s="42" t="s">
        <v>189</v>
      </c>
      <c r="D271" s="42" t="s">
        <v>194</v>
      </c>
      <c r="E271" s="43">
        <v>4920</v>
      </c>
    </row>
    <row r="272" spans="1:5">
      <c r="A272" s="41">
        <v>45272</v>
      </c>
      <c r="B272" s="42" t="s">
        <v>182</v>
      </c>
      <c r="C272" s="42" t="s">
        <v>183</v>
      </c>
      <c r="D272" s="42" t="s">
        <v>186</v>
      </c>
      <c r="E272" s="43">
        <v>5740</v>
      </c>
    </row>
    <row r="273" spans="1:5">
      <c r="A273" s="41">
        <v>45274</v>
      </c>
      <c r="B273" s="42" t="s">
        <v>182</v>
      </c>
      <c r="C273" s="42" t="s">
        <v>185</v>
      </c>
      <c r="D273" s="42" t="s">
        <v>205</v>
      </c>
      <c r="E273" s="43">
        <v>1720</v>
      </c>
    </row>
    <row r="274" spans="1:5">
      <c r="A274" s="41">
        <v>45275</v>
      </c>
      <c r="B274" s="42" t="s">
        <v>188</v>
      </c>
      <c r="C274" s="42" t="s">
        <v>192</v>
      </c>
      <c r="D274" s="42" t="s">
        <v>202</v>
      </c>
      <c r="E274" s="43">
        <v>7830</v>
      </c>
    </row>
    <row r="275" spans="1:5">
      <c r="A275" s="41">
        <v>45276</v>
      </c>
      <c r="B275" s="42" t="s">
        <v>176</v>
      </c>
      <c r="C275" s="42" t="s">
        <v>187</v>
      </c>
      <c r="D275" s="42" t="s">
        <v>206</v>
      </c>
      <c r="E275" s="43">
        <v>8580</v>
      </c>
    </row>
    <row r="276" spans="1:5">
      <c r="A276" s="41">
        <v>45276</v>
      </c>
      <c r="B276" s="42" t="s">
        <v>188</v>
      </c>
      <c r="C276" s="42" t="s">
        <v>192</v>
      </c>
      <c r="D276" s="42" t="s">
        <v>190</v>
      </c>
      <c r="E276" s="43">
        <v>3800</v>
      </c>
    </row>
    <row r="277" spans="1:5">
      <c r="A277" s="41">
        <v>45281</v>
      </c>
      <c r="B277" s="42" t="s">
        <v>182</v>
      </c>
      <c r="C277" s="42" t="s">
        <v>185</v>
      </c>
      <c r="D277" s="42" t="s">
        <v>204</v>
      </c>
      <c r="E277" s="43">
        <v>3570</v>
      </c>
    </row>
    <row r="278" spans="1:5">
      <c r="A278" s="41">
        <v>45285</v>
      </c>
      <c r="B278" s="42" t="s">
        <v>188</v>
      </c>
      <c r="C278" s="42" t="s">
        <v>189</v>
      </c>
      <c r="D278" s="42" t="s">
        <v>194</v>
      </c>
      <c r="E278" s="43">
        <v>6870</v>
      </c>
    </row>
    <row r="279" spans="1:5">
      <c r="A279" s="41">
        <v>45286</v>
      </c>
      <c r="B279" s="42" t="s">
        <v>176</v>
      </c>
      <c r="C279" s="42" t="s">
        <v>177</v>
      </c>
      <c r="D279" s="42" t="s">
        <v>206</v>
      </c>
      <c r="E279" s="43">
        <v>3380</v>
      </c>
    </row>
    <row r="280" spans="1:5">
      <c r="A280" s="41">
        <v>45286</v>
      </c>
      <c r="B280" s="42" t="s">
        <v>182</v>
      </c>
      <c r="C280" s="42" t="s">
        <v>183</v>
      </c>
      <c r="D280" s="42" t="s">
        <v>204</v>
      </c>
      <c r="E280" s="43">
        <v>5820</v>
      </c>
    </row>
    <row r="281" spans="1:5">
      <c r="A281" s="41">
        <v>45288</v>
      </c>
      <c r="B281" s="42" t="s">
        <v>188</v>
      </c>
      <c r="C281" s="42" t="s">
        <v>189</v>
      </c>
      <c r="D281" s="42" t="s">
        <v>190</v>
      </c>
      <c r="E281" s="43">
        <v>7530</v>
      </c>
    </row>
    <row r="282" spans="1:5">
      <c r="A282" s="44" t="s">
        <v>218</v>
      </c>
      <c r="B282" s="45"/>
      <c r="C282" s="45"/>
      <c r="D282" s="45"/>
      <c r="E282" s="46">
        <f>SUM(E245:E281)</f>
        <v>182430</v>
      </c>
    </row>
    <row r="283" spans="1:5">
      <c r="A283" s="44" t="s">
        <v>219</v>
      </c>
      <c r="B283" s="45"/>
      <c r="C283" s="45"/>
      <c r="D283" s="45"/>
      <c r="E283" s="46">
        <f>E282+E244+E202</f>
        <v>754500</v>
      </c>
    </row>
    <row r="284" spans="1:5">
      <c r="A284" s="41">
        <v>45298</v>
      </c>
      <c r="B284" s="42" t="s">
        <v>188</v>
      </c>
      <c r="C284" s="42" t="s">
        <v>192</v>
      </c>
      <c r="D284" s="42" t="s">
        <v>194</v>
      </c>
      <c r="E284" s="43">
        <v>1180</v>
      </c>
    </row>
    <row r="285" spans="1:5">
      <c r="A285" s="41">
        <v>45301</v>
      </c>
      <c r="B285" s="42" t="s">
        <v>176</v>
      </c>
      <c r="C285" s="42" t="s">
        <v>187</v>
      </c>
      <c r="D285" s="42" t="s">
        <v>206</v>
      </c>
      <c r="E285" s="43">
        <v>5200</v>
      </c>
    </row>
    <row r="286" spans="1:5">
      <c r="A286" s="41">
        <v>45304</v>
      </c>
      <c r="B286" s="42" t="s">
        <v>182</v>
      </c>
      <c r="C286" s="42" t="s">
        <v>185</v>
      </c>
      <c r="D286" s="42" t="s">
        <v>195</v>
      </c>
      <c r="E286" s="43">
        <v>6370</v>
      </c>
    </row>
    <row r="287" spans="1:5">
      <c r="A287" s="41">
        <v>45305</v>
      </c>
      <c r="B287" s="42" t="s">
        <v>182</v>
      </c>
      <c r="C287" s="42" t="s">
        <v>183</v>
      </c>
      <c r="D287" s="42" t="s">
        <v>204</v>
      </c>
      <c r="E287" s="43">
        <v>5000</v>
      </c>
    </row>
    <row r="288" spans="1:5">
      <c r="A288" s="41">
        <v>45306</v>
      </c>
      <c r="B288" s="42" t="s">
        <v>188</v>
      </c>
      <c r="C288" s="42" t="s">
        <v>189</v>
      </c>
      <c r="D288" s="42" t="s">
        <v>197</v>
      </c>
      <c r="E288" s="43">
        <v>6430</v>
      </c>
    </row>
    <row r="289" spans="1:5">
      <c r="A289" s="41">
        <v>45307</v>
      </c>
      <c r="B289" s="42" t="s">
        <v>188</v>
      </c>
      <c r="C289" s="42" t="s">
        <v>192</v>
      </c>
      <c r="D289" s="42" t="s">
        <v>201</v>
      </c>
      <c r="E289" s="43">
        <v>3560</v>
      </c>
    </row>
    <row r="290" spans="1:5">
      <c r="A290" s="41">
        <v>45309</v>
      </c>
      <c r="B290" s="42" t="s">
        <v>182</v>
      </c>
      <c r="C290" s="42" t="s">
        <v>185</v>
      </c>
      <c r="D290" s="42" t="s">
        <v>195</v>
      </c>
      <c r="E290" s="43">
        <v>9810</v>
      </c>
    </row>
    <row r="291" spans="1:5">
      <c r="A291" s="41">
        <v>45314</v>
      </c>
      <c r="B291" s="42" t="s">
        <v>188</v>
      </c>
      <c r="C291" s="42" t="s">
        <v>192</v>
      </c>
      <c r="D291" s="42" t="s">
        <v>197</v>
      </c>
      <c r="E291" s="43">
        <v>6410</v>
      </c>
    </row>
    <row r="292" spans="1:5">
      <c r="A292" s="41">
        <v>45315</v>
      </c>
      <c r="B292" s="42" t="s">
        <v>176</v>
      </c>
      <c r="C292" s="42" t="s">
        <v>187</v>
      </c>
      <c r="D292" s="42" t="s">
        <v>206</v>
      </c>
      <c r="E292" s="43">
        <v>7930</v>
      </c>
    </row>
    <row r="293" spans="1:5">
      <c r="A293" s="41">
        <v>45317</v>
      </c>
      <c r="B293" s="42" t="s">
        <v>176</v>
      </c>
      <c r="C293" s="42" t="s">
        <v>177</v>
      </c>
      <c r="D293" s="42" t="s">
        <v>207</v>
      </c>
      <c r="E293" s="43">
        <v>5420</v>
      </c>
    </row>
    <row r="294" spans="1:5">
      <c r="A294" s="41">
        <v>45317</v>
      </c>
      <c r="B294" s="42" t="s">
        <v>176</v>
      </c>
      <c r="C294" s="42" t="s">
        <v>177</v>
      </c>
      <c r="D294" s="42" t="s">
        <v>200</v>
      </c>
      <c r="E294" s="43">
        <v>6810</v>
      </c>
    </row>
    <row r="295" spans="1:5">
      <c r="A295" s="41">
        <v>45318</v>
      </c>
      <c r="B295" s="42" t="s">
        <v>188</v>
      </c>
      <c r="C295" s="42" t="s">
        <v>189</v>
      </c>
      <c r="D295" s="42" t="s">
        <v>202</v>
      </c>
      <c r="E295" s="43">
        <v>6920</v>
      </c>
    </row>
    <row r="296" spans="1:5">
      <c r="A296" s="41">
        <v>45320</v>
      </c>
      <c r="B296" s="42" t="s">
        <v>182</v>
      </c>
      <c r="C296" s="42" t="s">
        <v>183</v>
      </c>
      <c r="D296" s="42" t="s">
        <v>205</v>
      </c>
      <c r="E296" s="43">
        <v>9180</v>
      </c>
    </row>
    <row r="297" spans="1:5">
      <c r="A297" s="41">
        <v>45323</v>
      </c>
      <c r="B297" s="42" t="s">
        <v>176</v>
      </c>
      <c r="C297" s="42" t="s">
        <v>177</v>
      </c>
      <c r="D297" s="42" t="s">
        <v>200</v>
      </c>
      <c r="E297" s="43">
        <v>5200</v>
      </c>
    </row>
    <row r="298" spans="1:5">
      <c r="A298" s="41">
        <v>45324</v>
      </c>
      <c r="B298" s="42" t="s">
        <v>188</v>
      </c>
      <c r="C298" s="42" t="s">
        <v>189</v>
      </c>
      <c r="D298" s="42" t="s">
        <v>201</v>
      </c>
      <c r="E298" s="43">
        <v>6180</v>
      </c>
    </row>
    <row r="299" spans="1:5">
      <c r="A299" s="41">
        <v>45325</v>
      </c>
      <c r="B299" s="42" t="s">
        <v>176</v>
      </c>
      <c r="C299" s="42" t="s">
        <v>187</v>
      </c>
      <c r="D299" s="42" t="s">
        <v>206</v>
      </c>
      <c r="E299" s="43">
        <v>270</v>
      </c>
    </row>
    <row r="300" spans="1:5">
      <c r="A300" s="41">
        <v>45326</v>
      </c>
      <c r="B300" s="42" t="s">
        <v>188</v>
      </c>
      <c r="C300" s="42" t="s">
        <v>189</v>
      </c>
      <c r="D300" s="42" t="s">
        <v>202</v>
      </c>
      <c r="E300" s="43">
        <v>9360</v>
      </c>
    </row>
    <row r="301" spans="1:5">
      <c r="A301" s="41">
        <v>45332</v>
      </c>
      <c r="B301" s="42" t="s">
        <v>182</v>
      </c>
      <c r="C301" s="42" t="s">
        <v>185</v>
      </c>
      <c r="D301" s="42" t="s">
        <v>186</v>
      </c>
      <c r="E301" s="43">
        <v>8260</v>
      </c>
    </row>
    <row r="302" spans="1:5">
      <c r="A302" s="41">
        <v>45333</v>
      </c>
      <c r="B302" s="42" t="s">
        <v>182</v>
      </c>
      <c r="C302" s="42" t="s">
        <v>183</v>
      </c>
      <c r="D302" s="42" t="s">
        <v>199</v>
      </c>
      <c r="E302" s="43">
        <v>7690</v>
      </c>
    </row>
    <row r="303" spans="1:5">
      <c r="A303" s="41">
        <v>45333</v>
      </c>
      <c r="B303" s="42" t="s">
        <v>182</v>
      </c>
      <c r="C303" s="42" t="s">
        <v>185</v>
      </c>
      <c r="D303" s="42" t="s">
        <v>195</v>
      </c>
      <c r="E303" s="43">
        <v>5250</v>
      </c>
    </row>
    <row r="304" spans="1:5">
      <c r="A304" s="41">
        <v>45336</v>
      </c>
      <c r="B304" s="42" t="s">
        <v>176</v>
      </c>
      <c r="C304" s="42" t="s">
        <v>177</v>
      </c>
      <c r="D304" s="42" t="s">
        <v>207</v>
      </c>
      <c r="E304" s="43">
        <v>6200</v>
      </c>
    </row>
    <row r="305" spans="1:5">
      <c r="A305" s="41">
        <v>45336</v>
      </c>
      <c r="B305" s="42" t="s">
        <v>182</v>
      </c>
      <c r="C305" s="42" t="s">
        <v>185</v>
      </c>
      <c r="D305" s="42" t="s">
        <v>195</v>
      </c>
      <c r="E305" s="43">
        <v>9650</v>
      </c>
    </row>
    <row r="306" spans="1:5">
      <c r="A306" s="41">
        <v>45339</v>
      </c>
      <c r="B306" s="42" t="s">
        <v>176</v>
      </c>
      <c r="C306" s="42" t="s">
        <v>187</v>
      </c>
      <c r="D306" s="42" t="s">
        <v>208</v>
      </c>
      <c r="E306" s="43">
        <v>3200</v>
      </c>
    </row>
    <row r="307" spans="1:5">
      <c r="A307" s="41">
        <v>45341</v>
      </c>
      <c r="B307" s="42" t="s">
        <v>188</v>
      </c>
      <c r="C307" s="42" t="s">
        <v>192</v>
      </c>
      <c r="D307" s="42" t="s">
        <v>197</v>
      </c>
      <c r="E307" s="43">
        <v>7470</v>
      </c>
    </row>
    <row r="308" spans="1:5">
      <c r="A308" s="41">
        <v>45341</v>
      </c>
      <c r="B308" s="42" t="s">
        <v>188</v>
      </c>
      <c r="C308" s="42" t="s">
        <v>189</v>
      </c>
      <c r="D308" s="42" t="s">
        <v>193</v>
      </c>
      <c r="E308" s="43">
        <v>4000</v>
      </c>
    </row>
    <row r="309" spans="1:5">
      <c r="A309" s="41">
        <v>45341</v>
      </c>
      <c r="B309" s="42" t="s">
        <v>182</v>
      </c>
      <c r="C309" s="42" t="s">
        <v>185</v>
      </c>
      <c r="D309" s="42" t="s">
        <v>205</v>
      </c>
      <c r="E309" s="43">
        <v>2120</v>
      </c>
    </row>
    <row r="310" spans="1:5">
      <c r="A310" s="41">
        <v>45347</v>
      </c>
      <c r="B310" s="42" t="s">
        <v>188</v>
      </c>
      <c r="C310" s="42" t="s">
        <v>189</v>
      </c>
      <c r="D310" s="42" t="s">
        <v>193</v>
      </c>
      <c r="E310" s="43">
        <v>1570</v>
      </c>
    </row>
    <row r="311" spans="1:5">
      <c r="A311" s="41">
        <v>45347</v>
      </c>
      <c r="B311" s="42" t="s">
        <v>188</v>
      </c>
      <c r="C311" s="42" t="s">
        <v>192</v>
      </c>
      <c r="D311" s="42" t="s">
        <v>194</v>
      </c>
      <c r="E311" s="43">
        <v>5950</v>
      </c>
    </row>
    <row r="312" spans="1:5">
      <c r="A312" s="41">
        <v>45347</v>
      </c>
      <c r="B312" s="42" t="s">
        <v>176</v>
      </c>
      <c r="C312" s="42" t="s">
        <v>177</v>
      </c>
      <c r="D312" s="42" t="s">
        <v>207</v>
      </c>
      <c r="E312" s="43">
        <v>3860</v>
      </c>
    </row>
    <row r="313" spans="1:5">
      <c r="A313" s="41">
        <v>45348</v>
      </c>
      <c r="B313" s="42" t="s">
        <v>176</v>
      </c>
      <c r="C313" s="42" t="s">
        <v>177</v>
      </c>
      <c r="D313" s="42" t="s">
        <v>178</v>
      </c>
      <c r="E313" s="43">
        <v>1170</v>
      </c>
    </row>
  </sheetData>
  <mergeCells count="2">
    <mergeCell ref="M13:T13"/>
    <mergeCell ref="M20:T20"/>
  </mergeCells>
  <conditionalFormatting sqref="H3:J32">
    <cfRule type="expression" dxfId="10" priority="4" stopIfTrue="1">
      <formula>$H3="Grand Total"</formula>
    </cfRule>
    <cfRule type="expression" dxfId="9" priority="5">
      <formula>AND($I3="",$H3&lt;&gt;"")</formula>
    </cfRule>
    <cfRule type="notContainsBlanks" dxfId="8" priority="6">
      <formula>LEN(TRIM(H3))&gt;0</formula>
    </cfRule>
  </conditionalFormatting>
  <conditionalFormatting sqref="M2">
    <cfRule type="expression" dxfId="7" priority="1">
      <formula>AND($I2="",$H2&lt;&gt;"")</formula>
    </cfRule>
    <cfRule type="expression" dxfId="6" priority="2">
      <formula>$H2="Grand Total"</formula>
    </cfRule>
    <cfRule type="notContainsBlanks" dxfId="5" priority="3">
      <formula>LEN(TRIM(M2))&gt;0</formula>
    </cfRule>
  </conditionalFormatting>
  <conditionalFormatting sqref="N2:Q2 M3:Q12 M13 M16:O16 Q16 M20">
    <cfRule type="expression" dxfId="4" priority="7">
      <formula>$M2="Total"</formula>
    </cfRule>
  </conditionalFormatting>
  <conditionalFormatting sqref="P21">
    <cfRule type="expression" dxfId="3" priority="13">
      <formula>$M16="Total"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109D-0DE5-4E8B-802B-BD63AA7913F1}">
  <sheetPr codeName="Sheet26">
    <tabColor rgb="FFFCBEF6"/>
  </sheetPr>
  <dimension ref="A1:AI301"/>
  <sheetViews>
    <sheetView zoomScale="90" zoomScaleNormal="90" workbookViewId="0"/>
  </sheetViews>
  <sheetFormatPr defaultColWidth="8.88671875" defaultRowHeight="14.4" outlineLevelCol="1"/>
  <cols>
    <col min="1" max="1" width="11.21875" bestFit="1" customWidth="1"/>
    <col min="2" max="2" width="10.109375" bestFit="1" customWidth="1"/>
    <col min="3" max="3" width="18.44140625" bestFit="1" customWidth="1"/>
    <col min="4" max="4" width="15.21875" bestFit="1" customWidth="1"/>
    <col min="5" max="5" width="7.33203125" bestFit="1" customWidth="1"/>
    <col min="6" max="6" width="2.6640625" customWidth="1"/>
    <col min="7" max="7" width="11.88671875" hidden="1" customWidth="1" outlineLevel="1"/>
    <col min="8" max="8" width="18.44140625" hidden="1" customWidth="1" outlineLevel="1"/>
    <col min="9" max="9" width="15.21875" hidden="1" customWidth="1" outlineLevel="1"/>
    <col min="10" max="10" width="12.109375" style="40" hidden="1" customWidth="1" outlineLevel="1"/>
    <col min="11" max="11" width="3.21875" hidden="1" customWidth="1" outlineLevel="1"/>
    <col min="12" max="12" width="65.88671875" hidden="1" customWidth="1" outlineLevel="1"/>
    <col min="13" max="13" width="2.6640625" customWidth="1" collapsed="1"/>
    <col min="14" max="14" width="10.33203125" hidden="1" customWidth="1" outlineLevel="1"/>
    <col min="15" max="15" width="84.44140625" hidden="1" customWidth="1" outlineLevel="1"/>
    <col min="16" max="16" width="2.6640625" customWidth="1" collapsed="1"/>
    <col min="17" max="17" width="10.21875" hidden="1" customWidth="1" outlineLevel="1"/>
    <col min="18" max="18" width="8.77734375" hidden="1" customWidth="1" outlineLevel="1"/>
    <col min="19" max="19" width="8.88671875" hidden="1" customWidth="1" outlineLevel="1"/>
    <col min="20" max="20" width="56.6640625" hidden="1" customWidth="1" outlineLevel="1"/>
    <col min="21" max="21" width="2.6640625" customWidth="1" collapsed="1"/>
    <col min="22" max="22" width="10.21875" hidden="1" customWidth="1" outlineLevel="1"/>
    <col min="23" max="23" width="20.21875" hidden="1" customWidth="1" outlineLevel="1"/>
    <col min="24" max="24" width="9.109375" style="40" hidden="1" customWidth="1" outlineLevel="1"/>
    <col min="25" max="25" width="5.21875" hidden="1" customWidth="1" outlineLevel="1"/>
    <col min="26" max="26" width="85.5546875" hidden="1" customWidth="1" outlineLevel="1"/>
    <col min="27" max="27" width="2.6640625" customWidth="1" collapsed="1"/>
    <col min="28" max="28" width="18.44140625" hidden="1" customWidth="1" outlineLevel="1"/>
    <col min="29" max="29" width="18.77734375" hidden="1" customWidth="1" outlineLevel="1"/>
    <col min="30" max="32" width="9" hidden="1" customWidth="1" outlineLevel="1"/>
    <col min="33" max="33" width="9.109375" hidden="1" customWidth="1" outlineLevel="1"/>
    <col min="34" max="34" width="80" hidden="1" customWidth="1" outlineLevel="1"/>
    <col min="35" max="35" width="2.6640625" customWidth="1" collapsed="1"/>
  </cols>
  <sheetData>
    <row r="1" spans="1:34">
      <c r="A1" s="117" t="s">
        <v>172</v>
      </c>
      <c r="B1" s="117" t="s">
        <v>173</v>
      </c>
      <c r="C1" s="117" t="s">
        <v>174</v>
      </c>
      <c r="D1" s="117" t="s">
        <v>96</v>
      </c>
      <c r="E1" s="117" t="s">
        <v>2</v>
      </c>
      <c r="G1" s="32" t="s">
        <v>173</v>
      </c>
      <c r="H1" s="32" t="s">
        <v>220</v>
      </c>
      <c r="I1" s="32" t="s">
        <v>96</v>
      </c>
      <c r="J1" s="32" t="s">
        <v>2</v>
      </c>
      <c r="Q1" s="32" t="s">
        <v>221</v>
      </c>
      <c r="R1" s="53" t="s">
        <v>2</v>
      </c>
      <c r="S1" s="40"/>
      <c r="V1" s="32" t="s">
        <v>222</v>
      </c>
      <c r="W1" s="53" t="s">
        <v>223</v>
      </c>
      <c r="X1" s="53" t="s">
        <v>2</v>
      </c>
    </row>
    <row r="2" spans="1:34">
      <c r="A2" s="33">
        <v>44564</v>
      </c>
      <c r="B2" s="34" t="s">
        <v>176</v>
      </c>
      <c r="C2" s="34" t="s">
        <v>177</v>
      </c>
      <c r="D2" s="34" t="s">
        <v>178</v>
      </c>
      <c r="E2" s="35">
        <v>6750</v>
      </c>
      <c r="G2" s="4" t="str" cm="1">
        <f t="array" ref="G2:J41">_xlfn.GROUPBY(TSales[[Division]:[Product]],TSales[Sales],_xleta.SUM,,2,1)</f>
        <v>Health</v>
      </c>
      <c r="H2" s="40" t="str">
        <v>Jesse Pinkman</v>
      </c>
      <c r="I2" s="40" t="str">
        <v>FitTrack</v>
      </c>
      <c r="J2" s="40">
        <v>41200</v>
      </c>
      <c r="N2" s="4" t="str" cm="1">
        <f t="array" ref="N2:N4">_xlfn.UNIQUE(TSales[Division])</f>
        <v>Utility</v>
      </c>
      <c r="Q2" s="23" t="str" cm="1">
        <f t="array" ref="Q2:R28">_xlfn.GROUPBY(TEXT(TSales[Date],"yyyy-mm"),TSales[Sales],_xleta.SUM)</f>
        <v>2022-01</v>
      </c>
      <c r="R2" s="40">
        <v>53090</v>
      </c>
      <c r="S2" s="40"/>
      <c r="U2" s="19"/>
      <c r="V2" s="61" t="str" cm="1">
        <f t="array" ref="V2:X137">_xlfn.GROUPBY(_xlfn.HSTACK(TEXT(TSales[Date],"yyyy-mm"),TSales[Sales Manager]),TSales[Sales],_xleta.SUM)</f>
        <v>2022-01</v>
      </c>
      <c r="W2" t="str">
        <v>Christopher Moltisanti</v>
      </c>
      <c r="X2" s="40">
        <v>6750</v>
      </c>
      <c r="AB2" s="23" t="str" cm="1">
        <f t="array" ref="AB2:AF39">_xlfn.PIVOTBY(TSales[[Sales Manager]:[Product]],YEAR(TSales[Date]),TSales[Sales],_xleta.SUM,,,,0)</f>
        <v/>
      </c>
      <c r="AC2" s="32" t="str">
        <v/>
      </c>
      <c r="AD2" s="32">
        <v>2022</v>
      </c>
      <c r="AE2" s="32">
        <v>2023</v>
      </c>
      <c r="AF2" s="32">
        <v>2024</v>
      </c>
    </row>
    <row r="3" spans="1:34">
      <c r="A3" s="41">
        <v>44578</v>
      </c>
      <c r="B3" s="42" t="s">
        <v>182</v>
      </c>
      <c r="C3" s="42" t="s">
        <v>183</v>
      </c>
      <c r="D3" s="42" t="s">
        <v>184</v>
      </c>
      <c r="E3" s="43">
        <v>3840</v>
      </c>
      <c r="G3" t="str">
        <v>Health</v>
      </c>
      <c r="H3" s="40" t="str">
        <v>Jesse Pinkman</v>
      </c>
      <c r="I3" s="40" t="str">
        <v>HealthPlus</v>
      </c>
      <c r="J3" s="40">
        <v>42660</v>
      </c>
      <c r="N3" t="str">
        <v>Productivity</v>
      </c>
      <c r="Q3" t="str">
        <v>2022-02</v>
      </c>
      <c r="R3" s="40">
        <v>26150</v>
      </c>
      <c r="S3" s="40"/>
      <c r="V3" t="str">
        <v>2022-01</v>
      </c>
      <c r="W3" t="str">
        <v>Jesse Pinkman</v>
      </c>
      <c r="X3" s="40">
        <v>6550</v>
      </c>
      <c r="AB3" t="str">
        <v>Christopher Moltisanti</v>
      </c>
      <c r="AC3" t="str">
        <v>ClimateControl</v>
      </c>
      <c r="AD3" s="40">
        <v>24180</v>
      </c>
      <c r="AE3" s="40">
        <v>2500</v>
      </c>
      <c r="AF3" s="40">
        <v>1170</v>
      </c>
      <c r="AG3" s="40"/>
    </row>
    <row r="4" spans="1:34">
      <c r="A4" s="41">
        <v>44580</v>
      </c>
      <c r="B4" s="42" t="s">
        <v>182</v>
      </c>
      <c r="C4" s="42" t="s">
        <v>185</v>
      </c>
      <c r="D4" s="42" t="s">
        <v>186</v>
      </c>
      <c r="E4" s="43">
        <v>430</v>
      </c>
      <c r="G4" t="str">
        <v>Health</v>
      </c>
      <c r="H4" s="40" t="str">
        <v>Jesse Pinkman</v>
      </c>
      <c r="I4" s="40" t="str">
        <v>LifeBalance</v>
      </c>
      <c r="J4" s="40">
        <v>62110</v>
      </c>
      <c r="N4" t="str">
        <v>Health</v>
      </c>
      <c r="Q4" t="str">
        <v>2022-03</v>
      </c>
      <c r="R4" s="40">
        <v>58370</v>
      </c>
      <c r="S4" s="40"/>
      <c r="V4" t="str">
        <v>2022-01</v>
      </c>
      <c r="W4" t="str">
        <v>Mike Delfino</v>
      </c>
      <c r="X4" s="40">
        <v>11700</v>
      </c>
      <c r="AB4" t="str">
        <v>Christopher Moltisanti</v>
      </c>
      <c r="AC4" t="str">
        <v>EcoLight</v>
      </c>
      <c r="AD4" s="40">
        <v>9440</v>
      </c>
      <c r="AE4" s="40">
        <v>16260</v>
      </c>
      <c r="AF4" s="40">
        <v>12010</v>
      </c>
      <c r="AG4" s="40"/>
      <c r="AH4" s="40"/>
    </row>
    <row r="5" spans="1:34">
      <c r="A5" s="41">
        <v>44581</v>
      </c>
      <c r="B5" s="42" t="s">
        <v>176</v>
      </c>
      <c r="C5" s="42" t="s">
        <v>187</v>
      </c>
      <c r="D5" s="42" t="s">
        <v>178</v>
      </c>
      <c r="E5" s="43">
        <v>5500</v>
      </c>
      <c r="G5" t="str">
        <v>Health</v>
      </c>
      <c r="H5" s="40" t="str">
        <v>Jesse Pinkman</v>
      </c>
      <c r="I5" s="40" t="str">
        <v>NutriWatch</v>
      </c>
      <c r="J5" s="40">
        <v>42720</v>
      </c>
      <c r="Q5" t="str">
        <v>2022-04</v>
      </c>
      <c r="R5" s="40">
        <v>46990</v>
      </c>
      <c r="S5" s="40"/>
      <c r="T5" s="22" t="s">
        <v>230</v>
      </c>
      <c r="V5" t="str">
        <v>2022-01</v>
      </c>
      <c r="W5" t="str">
        <v>Miriam Maisel</v>
      </c>
      <c r="X5" s="40">
        <v>18300</v>
      </c>
      <c r="AB5" t="str">
        <v>Christopher Moltisanti</v>
      </c>
      <c r="AC5" t="str">
        <v>PowerSaver</v>
      </c>
      <c r="AD5" s="40">
        <v>7300</v>
      </c>
      <c r="AE5" s="40">
        <v>16410</v>
      </c>
      <c r="AF5" s="40" t="str">
        <v/>
      </c>
      <c r="AG5" s="40"/>
      <c r="AH5" s="40"/>
    </row>
    <row r="6" spans="1:34">
      <c r="A6" s="41">
        <v>44582</v>
      </c>
      <c r="B6" s="42" t="s">
        <v>188</v>
      </c>
      <c r="C6" s="42" t="s">
        <v>189</v>
      </c>
      <c r="D6" s="42" t="s">
        <v>190</v>
      </c>
      <c r="E6" s="43">
        <v>6550</v>
      </c>
      <c r="G6" t="str">
        <v>Health</v>
      </c>
      <c r="H6" t="str">
        <v>Jesse Pinkman</v>
      </c>
      <c r="I6" s="40" t="str">
        <v>VitalitySensor</v>
      </c>
      <c r="J6" s="40">
        <v>58390</v>
      </c>
      <c r="O6" s="6" t="s">
        <v>228</v>
      </c>
      <c r="Q6" t="str">
        <v>2022-05</v>
      </c>
      <c r="R6" s="40">
        <v>57160</v>
      </c>
      <c r="S6" s="40"/>
      <c r="V6" t="str">
        <v>2022-01</v>
      </c>
      <c r="W6" t="str">
        <v>Rachel Green</v>
      </c>
      <c r="X6" s="40">
        <v>430</v>
      </c>
      <c r="Z6" s="60" t="s">
        <v>231</v>
      </c>
      <c r="AB6" t="str">
        <v>Christopher Moltisanti</v>
      </c>
      <c r="AC6" t="str">
        <v>ResourceManager</v>
      </c>
      <c r="AD6" s="40">
        <v>17370</v>
      </c>
      <c r="AE6" s="40">
        <v>34160</v>
      </c>
      <c r="AF6" s="40">
        <v>15480</v>
      </c>
      <c r="AG6" s="40"/>
      <c r="AH6" s="62" t="s">
        <v>232</v>
      </c>
    </row>
    <row r="7" spans="1:34">
      <c r="A7" s="41">
        <v>44584</v>
      </c>
      <c r="B7" s="42" t="s">
        <v>176</v>
      </c>
      <c r="C7" s="42" t="s">
        <v>187</v>
      </c>
      <c r="D7" s="42" t="s">
        <v>191</v>
      </c>
      <c r="E7" s="43">
        <v>6200</v>
      </c>
      <c r="G7" t="str">
        <v>Health</v>
      </c>
      <c r="H7" t="str">
        <v>Jesse Pinkman</v>
      </c>
      <c r="I7" s="40" t="str">
        <v>WellnessMonitor</v>
      </c>
      <c r="J7" s="40">
        <v>54310</v>
      </c>
      <c r="Q7" t="str">
        <v>2022-06</v>
      </c>
      <c r="R7" s="40">
        <v>41170</v>
      </c>
      <c r="S7" s="40"/>
      <c r="V7" t="str">
        <v>2022-01</v>
      </c>
      <c r="W7" t="str">
        <v>Walter White</v>
      </c>
      <c r="X7" s="40">
        <v>9360</v>
      </c>
      <c r="AB7" t="str">
        <v>Christopher Moltisanti</v>
      </c>
      <c r="AC7" t="str">
        <v>SmartGrid</v>
      </c>
      <c r="AD7" s="40">
        <v>15800</v>
      </c>
      <c r="AE7" s="40">
        <v>19930</v>
      </c>
      <c r="AF7" s="40" t="str">
        <v/>
      </c>
      <c r="AG7" s="40"/>
      <c r="AH7" s="40"/>
    </row>
    <row r="8" spans="1:34">
      <c r="A8" s="41">
        <v>44584</v>
      </c>
      <c r="B8" s="42" t="s">
        <v>182</v>
      </c>
      <c r="C8" s="42" t="s">
        <v>183</v>
      </c>
      <c r="D8" s="42" t="s">
        <v>184</v>
      </c>
      <c r="E8" s="43">
        <v>5690</v>
      </c>
      <c r="G8" t="str">
        <v>Health</v>
      </c>
      <c r="H8" t="str">
        <v>Walter White</v>
      </c>
      <c r="I8" s="40" t="str">
        <v>FitTrack</v>
      </c>
      <c r="J8" s="40">
        <v>35110</v>
      </c>
      <c r="L8" s="161" t="s">
        <v>226</v>
      </c>
      <c r="N8" s="21" t="str">
        <f>_xlfn.ARRAYTOTEXT(_xlfn.UNIQUE(TSales[Division]))</f>
        <v>Utility, Productivity, Health</v>
      </c>
      <c r="Q8" t="str">
        <v>2022-07</v>
      </c>
      <c r="R8">
        <v>56030</v>
      </c>
      <c r="V8" t="str">
        <v>2022-02</v>
      </c>
      <c r="W8" t="str">
        <v>Jesse Pinkman</v>
      </c>
      <c r="X8" s="40">
        <v>1040</v>
      </c>
      <c r="AB8" t="str">
        <v>Christopher Moltisanti</v>
      </c>
      <c r="AC8" t="str">
        <v>WaterWorks</v>
      </c>
      <c r="AD8" s="40">
        <v>5150</v>
      </c>
      <c r="AE8" s="40">
        <v>5390</v>
      </c>
      <c r="AF8" s="40" t="str">
        <v/>
      </c>
      <c r="AG8" s="40"/>
      <c r="AH8" s="40"/>
    </row>
    <row r="9" spans="1:34">
      <c r="A9" s="41">
        <v>44588</v>
      </c>
      <c r="B9" s="42" t="s">
        <v>188</v>
      </c>
      <c r="C9" s="42" t="s">
        <v>192</v>
      </c>
      <c r="D9" s="42" t="s">
        <v>193</v>
      </c>
      <c r="E9" s="43">
        <v>9360</v>
      </c>
      <c r="G9" t="str">
        <v>Health</v>
      </c>
      <c r="H9" t="str">
        <v>Walter White</v>
      </c>
      <c r="I9" s="40" t="str">
        <v>HealthPlus</v>
      </c>
      <c r="J9" s="40">
        <v>41050</v>
      </c>
      <c r="L9" s="161"/>
      <c r="Q9" t="str">
        <v>2022-08</v>
      </c>
      <c r="R9" s="40">
        <v>34010</v>
      </c>
      <c r="S9" s="40"/>
      <c r="V9" t="str">
        <v>2022-02</v>
      </c>
      <c r="W9" t="str">
        <v>Rachel Green</v>
      </c>
      <c r="X9" s="40">
        <v>12190</v>
      </c>
      <c r="AB9" t="str">
        <v>Jesse Pinkman</v>
      </c>
      <c r="AC9" t="str">
        <v>FitTrack</v>
      </c>
      <c r="AD9" s="40">
        <v>30590</v>
      </c>
      <c r="AE9" s="40">
        <v>10610</v>
      </c>
      <c r="AF9" s="40" t="str">
        <v/>
      </c>
      <c r="AG9" s="40"/>
      <c r="AH9" s="40"/>
    </row>
    <row r="10" spans="1:34">
      <c r="A10" s="41">
        <v>44591</v>
      </c>
      <c r="B10" s="42" t="s">
        <v>182</v>
      </c>
      <c r="C10" s="42" t="s">
        <v>183</v>
      </c>
      <c r="D10" s="42" t="s">
        <v>186</v>
      </c>
      <c r="E10" s="43">
        <v>8770</v>
      </c>
      <c r="G10" t="str">
        <v>Health</v>
      </c>
      <c r="H10" t="str">
        <v>Walter White</v>
      </c>
      <c r="I10" s="40" t="str">
        <v>LifeBalance</v>
      </c>
      <c r="J10" s="40">
        <v>40990</v>
      </c>
      <c r="L10" s="161"/>
      <c r="O10" s="20" t="s">
        <v>229</v>
      </c>
      <c r="Q10" t="str">
        <v>2022-09</v>
      </c>
      <c r="R10" s="40">
        <v>36300</v>
      </c>
      <c r="S10" s="40"/>
      <c r="V10" t="str">
        <v>2022-02</v>
      </c>
      <c r="W10" t="str">
        <v>Walter White</v>
      </c>
      <c r="X10" s="40">
        <v>12920</v>
      </c>
      <c r="AB10" t="str">
        <v>Jesse Pinkman</v>
      </c>
      <c r="AC10" t="str">
        <v>HealthPlus</v>
      </c>
      <c r="AD10" s="40">
        <v>11500</v>
      </c>
      <c r="AE10" s="40">
        <v>24730</v>
      </c>
      <c r="AF10" s="40">
        <v>6430</v>
      </c>
      <c r="AG10" s="40"/>
      <c r="AH10" s="40"/>
    </row>
    <row r="11" spans="1:34">
      <c r="A11" s="41">
        <v>44594</v>
      </c>
      <c r="B11" s="42" t="s">
        <v>188</v>
      </c>
      <c r="C11" s="42" t="s">
        <v>192</v>
      </c>
      <c r="D11" s="42" t="s">
        <v>194</v>
      </c>
      <c r="E11" s="43">
        <v>1110</v>
      </c>
      <c r="G11" t="str">
        <v>Health</v>
      </c>
      <c r="H11" t="str">
        <v>Walter White</v>
      </c>
      <c r="I11" s="40" t="str">
        <v>NutriWatch</v>
      </c>
      <c r="J11" s="40">
        <v>30400</v>
      </c>
      <c r="Q11" t="str">
        <v>2022-10</v>
      </c>
      <c r="R11" s="40">
        <v>46880</v>
      </c>
      <c r="S11" s="40"/>
      <c r="V11" t="str">
        <v>2022-03</v>
      </c>
      <c r="W11" t="str">
        <v>Christopher Moltisanti</v>
      </c>
      <c r="X11" s="40">
        <v>9260</v>
      </c>
      <c r="AB11" t="str">
        <v>Jesse Pinkman</v>
      </c>
      <c r="AC11" t="str">
        <v>LifeBalance</v>
      </c>
      <c r="AD11" s="40">
        <v>15690</v>
      </c>
      <c r="AE11" s="40">
        <v>30140</v>
      </c>
      <c r="AF11" s="40">
        <v>16280</v>
      </c>
      <c r="AG11" s="40"/>
      <c r="AH11" s="40"/>
    </row>
    <row r="12" spans="1:34">
      <c r="A12" s="41">
        <v>44597</v>
      </c>
      <c r="B12" s="42" t="s">
        <v>182</v>
      </c>
      <c r="C12" s="42" t="s">
        <v>185</v>
      </c>
      <c r="D12" s="42" t="s">
        <v>195</v>
      </c>
      <c r="E12" s="43">
        <v>7340</v>
      </c>
      <c r="G12" t="str">
        <v>Health</v>
      </c>
      <c r="H12" t="str">
        <v>Walter White</v>
      </c>
      <c r="I12" s="40" t="str">
        <v>VitalitySensor</v>
      </c>
      <c r="J12" s="40">
        <v>50420</v>
      </c>
      <c r="N12" s="23" t="str" cm="1">
        <f t="array" ref="N12:O15">_xlfn.GROUPBY(TSales[Division],TSales[Sales Manager],_xlfn.LAMBDA(_xlpm.a,_xlfn.ARRAYTOTEXT(_xlfn.UNIQUE(_xlpm.a))))</f>
        <v>Health</v>
      </c>
      <c r="O12" t="str">
        <v>Jesse Pinkman, Walter White</v>
      </c>
      <c r="Q12" t="str">
        <v>2022-11</v>
      </c>
      <c r="R12" s="40">
        <v>42360</v>
      </c>
      <c r="S12" s="40"/>
      <c r="V12" t="str">
        <v>2022-03</v>
      </c>
      <c r="W12" t="str">
        <v>Jesse Pinkman</v>
      </c>
      <c r="X12" s="40">
        <v>16520</v>
      </c>
      <c r="AB12" t="str">
        <v>Jesse Pinkman</v>
      </c>
      <c r="AC12" t="str">
        <v>NutriWatch</v>
      </c>
      <c r="AD12" s="40">
        <v>14630</v>
      </c>
      <c r="AE12" s="40">
        <v>21910</v>
      </c>
      <c r="AF12" s="40">
        <v>6180</v>
      </c>
      <c r="AG12" s="40"/>
      <c r="AH12" s="40"/>
    </row>
    <row r="13" spans="1:34">
      <c r="A13" s="41">
        <v>44597</v>
      </c>
      <c r="B13" s="42" t="s">
        <v>188</v>
      </c>
      <c r="C13" s="42" t="s">
        <v>192</v>
      </c>
      <c r="D13" s="42" t="s">
        <v>190</v>
      </c>
      <c r="E13" s="43">
        <v>9790</v>
      </c>
      <c r="G13" t="str">
        <v>Health</v>
      </c>
      <c r="H13" t="str">
        <v>Walter White</v>
      </c>
      <c r="I13" s="40" t="str">
        <v>WellnessMonitor</v>
      </c>
      <c r="J13" s="40">
        <v>40360</v>
      </c>
      <c r="L13" t="s">
        <v>225</v>
      </c>
      <c r="N13" t="str">
        <v>Productivity</v>
      </c>
      <c r="O13" t="str">
        <v>Miriam Maisel, Rachel Green</v>
      </c>
      <c r="Q13" t="str">
        <v>2022-12</v>
      </c>
      <c r="R13" s="40">
        <v>29220</v>
      </c>
      <c r="S13" s="40"/>
      <c r="V13" t="str">
        <v>2022-03</v>
      </c>
      <c r="W13" t="str">
        <v>Mike Delfino</v>
      </c>
      <c r="X13" s="40">
        <v>2950</v>
      </c>
      <c r="AB13" t="str">
        <v>Jesse Pinkman</v>
      </c>
      <c r="AC13" t="str">
        <v>VitalitySensor</v>
      </c>
      <c r="AD13" s="40">
        <v>19860</v>
      </c>
      <c r="AE13" s="40">
        <v>38530</v>
      </c>
      <c r="AF13" s="40" t="str">
        <v/>
      </c>
      <c r="AG13" s="40"/>
      <c r="AH13" s="40"/>
    </row>
    <row r="14" spans="1:34">
      <c r="A14" s="41">
        <v>44605</v>
      </c>
      <c r="B14" s="42" t="s">
        <v>188</v>
      </c>
      <c r="C14" s="42" t="s">
        <v>192</v>
      </c>
      <c r="D14" s="42" t="s">
        <v>197</v>
      </c>
      <c r="E14" s="43">
        <v>2020</v>
      </c>
      <c r="G14" t="str">
        <v>Health</v>
      </c>
      <c r="H14" t="str">
        <v/>
      </c>
      <c r="I14" t="str">
        <v/>
      </c>
      <c r="J14" s="40">
        <v>539720</v>
      </c>
      <c r="L14" s="162" t="e" vm="1">
        <v>#VALUE!</v>
      </c>
      <c r="N14" t="str">
        <v>Utility</v>
      </c>
      <c r="O14" t="str">
        <v>Christopher Moltisanti, Mike Delfino</v>
      </c>
      <c r="Q14" t="str">
        <v>2023-01</v>
      </c>
      <c r="R14" s="40">
        <v>92610</v>
      </c>
      <c r="S14" s="40"/>
      <c r="V14" t="str">
        <v>2022-03</v>
      </c>
      <c r="W14" t="str">
        <v>Miriam Maisel</v>
      </c>
      <c r="X14" s="40">
        <v>6330</v>
      </c>
      <c r="AB14" t="str">
        <v>Jesse Pinkman</v>
      </c>
      <c r="AC14" t="str">
        <v>WellnessMonitor</v>
      </c>
      <c r="AD14" s="40">
        <v>11340</v>
      </c>
      <c r="AE14" s="40">
        <v>37400</v>
      </c>
      <c r="AF14" s="40">
        <v>5570</v>
      </c>
      <c r="AG14" s="40"/>
      <c r="AH14" s="40"/>
    </row>
    <row r="15" spans="1:34">
      <c r="A15" s="41">
        <v>44608</v>
      </c>
      <c r="B15" s="42" t="s">
        <v>188</v>
      </c>
      <c r="C15" s="42" t="s">
        <v>189</v>
      </c>
      <c r="D15" s="42" t="s">
        <v>190</v>
      </c>
      <c r="E15" s="43">
        <v>1040</v>
      </c>
      <c r="G15" t="str">
        <v>Productivity</v>
      </c>
      <c r="H15" t="str">
        <v>Miriam Maisel</v>
      </c>
      <c r="I15" t="str">
        <v>Efficienizer</v>
      </c>
      <c r="J15" s="40">
        <v>14230</v>
      </c>
      <c r="L15" s="162"/>
      <c r="N15" t="str">
        <v>Total</v>
      </c>
      <c r="O15" t="str">
        <v>Christopher Moltisanti, Miriam Maisel, Rachel Green, Mike Delfino, Jesse Pinkman, Walter White</v>
      </c>
      <c r="Q15" t="str">
        <v>2023-02</v>
      </c>
      <c r="R15" s="40">
        <v>23810</v>
      </c>
      <c r="S15" s="40"/>
      <c r="V15" t="str">
        <v>2022-03</v>
      </c>
      <c r="W15" t="str">
        <v>Walter White</v>
      </c>
      <c r="X15" s="40">
        <v>23310</v>
      </c>
      <c r="AB15" t="str">
        <v>Mike Delfino</v>
      </c>
      <c r="AC15" t="str">
        <v>ClimateControl</v>
      </c>
      <c r="AD15" s="40">
        <v>7640</v>
      </c>
      <c r="AE15" s="40">
        <v>19950</v>
      </c>
      <c r="AF15" s="40" t="str">
        <v/>
      </c>
      <c r="AG15" s="40"/>
      <c r="AH15" s="40"/>
    </row>
    <row r="16" spans="1:34">
      <c r="A16" s="41">
        <v>44608</v>
      </c>
      <c r="B16" s="42" t="s">
        <v>182</v>
      </c>
      <c r="C16" s="42" t="s">
        <v>185</v>
      </c>
      <c r="D16" s="42" t="s">
        <v>199</v>
      </c>
      <c r="E16" s="43">
        <v>4850</v>
      </c>
      <c r="G16" t="str">
        <v>Productivity</v>
      </c>
      <c r="H16" t="str">
        <v>Miriam Maisel</v>
      </c>
      <c r="I16" t="str">
        <v>FocusBoost</v>
      </c>
      <c r="J16" s="40">
        <v>84540</v>
      </c>
      <c r="L16" s="162"/>
      <c r="Q16" t="str">
        <v>2023-03</v>
      </c>
      <c r="R16" s="40">
        <v>40310</v>
      </c>
      <c r="S16" s="40"/>
      <c r="V16" t="str">
        <v>2022-04</v>
      </c>
      <c r="W16" t="str">
        <v>Jesse Pinkman</v>
      </c>
      <c r="X16" s="40">
        <v>12120</v>
      </c>
      <c r="AB16" t="str">
        <v>Mike Delfino</v>
      </c>
      <c r="AC16" t="str">
        <v>EcoLight</v>
      </c>
      <c r="AD16" s="40">
        <v>3920</v>
      </c>
      <c r="AE16" s="40">
        <v>470</v>
      </c>
      <c r="AF16" s="40" t="str">
        <v/>
      </c>
      <c r="AG16" s="40"/>
      <c r="AH16" s="40"/>
    </row>
    <row r="17" spans="1:34">
      <c r="A17" s="41">
        <v>44621</v>
      </c>
      <c r="B17" s="42" t="s">
        <v>176</v>
      </c>
      <c r="C17" s="42" t="s">
        <v>177</v>
      </c>
      <c r="D17" s="42" t="s">
        <v>178</v>
      </c>
      <c r="E17" s="43">
        <v>6320</v>
      </c>
      <c r="G17" t="str">
        <v>Productivity</v>
      </c>
      <c r="H17" t="str">
        <v>Miriam Maisel</v>
      </c>
      <c r="I17" t="str">
        <v>GoalSetter</v>
      </c>
      <c r="J17" s="40">
        <v>38010</v>
      </c>
      <c r="O17" s="22" t="s">
        <v>227</v>
      </c>
      <c r="Q17" t="str">
        <v>2023-04</v>
      </c>
      <c r="R17" s="40">
        <v>59290</v>
      </c>
      <c r="S17" s="40"/>
      <c r="V17" t="str">
        <v>2022-04</v>
      </c>
      <c r="W17" t="str">
        <v>Mike Delfino</v>
      </c>
      <c r="X17" s="40">
        <v>2570</v>
      </c>
      <c r="AB17" t="str">
        <v>Mike Delfino</v>
      </c>
      <c r="AC17" t="str">
        <v>PowerSaver</v>
      </c>
      <c r="AD17" s="40">
        <v>6500</v>
      </c>
      <c r="AE17" s="40">
        <v>37060</v>
      </c>
      <c r="AF17" s="40">
        <v>13400</v>
      </c>
      <c r="AG17" s="40"/>
      <c r="AH17" s="40"/>
    </row>
    <row r="18" spans="1:34">
      <c r="A18" s="41">
        <v>44628</v>
      </c>
      <c r="B18" s="42" t="s">
        <v>188</v>
      </c>
      <c r="C18" s="42" t="s">
        <v>192</v>
      </c>
      <c r="D18" s="42" t="s">
        <v>194</v>
      </c>
      <c r="E18" s="43">
        <v>6600</v>
      </c>
      <c r="G18" t="str">
        <v>Productivity</v>
      </c>
      <c r="H18" t="str">
        <v>Miriam Maisel</v>
      </c>
      <c r="I18" t="str">
        <v>PlanAhead</v>
      </c>
      <c r="J18" s="40">
        <v>55880</v>
      </c>
      <c r="Q18" t="str">
        <v>2023-05</v>
      </c>
      <c r="R18" s="40">
        <v>56660</v>
      </c>
      <c r="S18" s="40"/>
      <c r="V18" t="str">
        <v>2022-04</v>
      </c>
      <c r="W18" t="str">
        <v>Miriam Maisel</v>
      </c>
      <c r="X18" s="40">
        <v>12720</v>
      </c>
      <c r="AB18" t="str">
        <v>Mike Delfino</v>
      </c>
      <c r="AC18" t="str">
        <v>ResourceManager</v>
      </c>
      <c r="AD18" s="40">
        <v>9200</v>
      </c>
      <c r="AE18" s="40">
        <v>10100</v>
      </c>
      <c r="AF18" s="40" t="str">
        <v/>
      </c>
      <c r="AG18" s="40"/>
      <c r="AH18" s="40"/>
    </row>
    <row r="19" spans="1:34">
      <c r="A19" s="41">
        <v>44634</v>
      </c>
      <c r="B19" s="42" t="s">
        <v>176</v>
      </c>
      <c r="C19" s="42" t="s">
        <v>177</v>
      </c>
      <c r="D19" s="42" t="s">
        <v>200</v>
      </c>
      <c r="E19" s="43">
        <v>2940</v>
      </c>
      <c r="G19" t="str">
        <v>Productivity</v>
      </c>
      <c r="H19" t="str">
        <v>Miriam Maisel</v>
      </c>
      <c r="I19" t="str">
        <v>TaskMaster</v>
      </c>
      <c r="J19" s="40">
        <v>51170</v>
      </c>
      <c r="Q19" t="str">
        <v>2023-06</v>
      </c>
      <c r="R19" s="40">
        <v>74290</v>
      </c>
      <c r="S19" s="40"/>
      <c r="V19" t="str">
        <v>2022-04</v>
      </c>
      <c r="W19" t="str">
        <v>Rachel Green</v>
      </c>
      <c r="X19" s="40">
        <v>10980</v>
      </c>
      <c r="AB19" t="str">
        <v>Mike Delfino</v>
      </c>
      <c r="AC19" t="str">
        <v>SmartGrid</v>
      </c>
      <c r="AD19" s="40">
        <v>16720</v>
      </c>
      <c r="AE19" s="40">
        <v>12260</v>
      </c>
      <c r="AF19" s="40" t="str">
        <v/>
      </c>
      <c r="AG19" s="40"/>
      <c r="AH19" s="40"/>
    </row>
    <row r="20" spans="1:34">
      <c r="A20" s="41">
        <v>44635</v>
      </c>
      <c r="B20" s="42" t="s">
        <v>188</v>
      </c>
      <c r="C20" s="42" t="s">
        <v>189</v>
      </c>
      <c r="D20" s="42" t="s">
        <v>197</v>
      </c>
      <c r="E20" s="43">
        <v>7810</v>
      </c>
      <c r="G20" t="str">
        <v>Productivity</v>
      </c>
      <c r="H20" t="str">
        <v>Miriam Maisel</v>
      </c>
      <c r="I20" t="str">
        <v>TimeTracker</v>
      </c>
      <c r="J20" s="40">
        <v>30520</v>
      </c>
      <c r="Q20" t="str">
        <v>2023-07</v>
      </c>
      <c r="R20" s="40">
        <v>50450</v>
      </c>
      <c r="S20" s="40"/>
      <c r="V20" t="str">
        <v>2022-04</v>
      </c>
      <c r="W20" t="str">
        <v>Walter White</v>
      </c>
      <c r="X20" s="40">
        <v>8600</v>
      </c>
      <c r="AB20" t="str">
        <v>Mike Delfino</v>
      </c>
      <c r="AC20" t="str">
        <v>WaterWorks</v>
      </c>
      <c r="AD20" s="40">
        <v>15220</v>
      </c>
      <c r="AE20" s="40">
        <v>31990</v>
      </c>
      <c r="AF20" s="40">
        <v>3200</v>
      </c>
      <c r="AG20" s="40"/>
      <c r="AH20" s="40"/>
    </row>
    <row r="21" spans="1:34">
      <c r="A21" s="41">
        <v>44638</v>
      </c>
      <c r="B21" s="42" t="s">
        <v>188</v>
      </c>
      <c r="C21" s="42" t="s">
        <v>189</v>
      </c>
      <c r="D21" s="42" t="s">
        <v>201</v>
      </c>
      <c r="E21" s="43">
        <v>8710</v>
      </c>
      <c r="G21" t="str">
        <v>Productivity</v>
      </c>
      <c r="H21" t="str">
        <v>Rachel Green</v>
      </c>
      <c r="I21" t="str">
        <v>Efficienizer</v>
      </c>
      <c r="J21" s="40">
        <v>62500</v>
      </c>
      <c r="Q21" t="str">
        <v>2023-08</v>
      </c>
      <c r="R21" s="40">
        <v>106200</v>
      </c>
      <c r="S21" s="40"/>
      <c r="V21" t="str">
        <v>2022-05</v>
      </c>
      <c r="W21" t="str">
        <v>Christopher Moltisanti</v>
      </c>
      <c r="X21" s="40">
        <v>16410</v>
      </c>
      <c r="AB21" t="str">
        <v>Miriam Maisel</v>
      </c>
      <c r="AC21" t="str">
        <v>Efficienizer</v>
      </c>
      <c r="AD21" s="40">
        <v>3800</v>
      </c>
      <c r="AE21" s="40">
        <v>10430</v>
      </c>
      <c r="AF21" s="40" t="str">
        <v/>
      </c>
      <c r="AG21" s="40"/>
      <c r="AH21" s="40"/>
    </row>
    <row r="22" spans="1:34">
      <c r="A22" s="41">
        <v>44638</v>
      </c>
      <c r="B22" s="42" t="s">
        <v>182</v>
      </c>
      <c r="C22" s="42" t="s">
        <v>183</v>
      </c>
      <c r="D22" s="42" t="s">
        <v>199</v>
      </c>
      <c r="E22" s="43">
        <v>6330</v>
      </c>
      <c r="G22" t="str">
        <v>Productivity</v>
      </c>
      <c r="H22" t="str">
        <v>Rachel Green</v>
      </c>
      <c r="I22" t="str">
        <v>FocusBoost</v>
      </c>
      <c r="J22" s="40">
        <v>37790</v>
      </c>
      <c r="Q22" t="str">
        <v>2023-09</v>
      </c>
      <c r="R22" s="40">
        <v>68450</v>
      </c>
      <c r="S22" s="40"/>
      <c r="V22" t="str">
        <v>2022-05</v>
      </c>
      <c r="W22" t="str">
        <v>Jesse Pinkman</v>
      </c>
      <c r="X22" s="40">
        <v>7410</v>
      </c>
      <c r="AB22" t="str">
        <v>Miriam Maisel</v>
      </c>
      <c r="AC22" t="str">
        <v>FocusBoost</v>
      </c>
      <c r="AD22" s="40">
        <v>23460</v>
      </c>
      <c r="AE22" s="40">
        <v>61080</v>
      </c>
      <c r="AF22" s="40" t="str">
        <v/>
      </c>
      <c r="AG22" s="40"/>
      <c r="AH22" s="40"/>
    </row>
    <row r="23" spans="1:34">
      <c r="A23" s="41">
        <v>44645</v>
      </c>
      <c r="B23" s="42" t="s">
        <v>176</v>
      </c>
      <c r="C23" s="42" t="s">
        <v>187</v>
      </c>
      <c r="D23" s="42" t="s">
        <v>191</v>
      </c>
      <c r="E23" s="43">
        <v>2950</v>
      </c>
      <c r="G23" t="str">
        <v>Productivity</v>
      </c>
      <c r="H23" t="str">
        <v>Rachel Green</v>
      </c>
      <c r="I23" t="str">
        <v>GoalSetter</v>
      </c>
      <c r="J23" s="40">
        <v>55960</v>
      </c>
      <c r="Q23" t="str">
        <v>2023-10</v>
      </c>
      <c r="R23" s="40">
        <v>65060</v>
      </c>
      <c r="S23" s="40"/>
      <c r="V23" t="str">
        <v>2022-05</v>
      </c>
      <c r="W23" t="str">
        <v>Mike Delfino</v>
      </c>
      <c r="X23" s="40">
        <v>6500</v>
      </c>
      <c r="AB23" t="str">
        <v>Miriam Maisel</v>
      </c>
      <c r="AC23" t="str">
        <v>GoalSetter</v>
      </c>
      <c r="AD23" s="40">
        <v>21750</v>
      </c>
      <c r="AE23" s="40">
        <v>16260</v>
      </c>
      <c r="AF23" s="40" t="str">
        <v/>
      </c>
      <c r="AG23" s="40"/>
      <c r="AH23" s="40"/>
    </row>
    <row r="24" spans="1:34">
      <c r="A24" s="41">
        <v>44648</v>
      </c>
      <c r="B24" s="42" t="s">
        <v>188</v>
      </c>
      <c r="C24" s="42" t="s">
        <v>192</v>
      </c>
      <c r="D24" s="42" t="s">
        <v>201</v>
      </c>
      <c r="E24" s="43">
        <v>8640</v>
      </c>
      <c r="G24" t="str">
        <v>Productivity</v>
      </c>
      <c r="H24" t="str">
        <v>Rachel Green</v>
      </c>
      <c r="I24" t="str">
        <v>PlanAhead</v>
      </c>
      <c r="J24" s="40">
        <v>37000</v>
      </c>
      <c r="Q24" t="str">
        <v>2023-11</v>
      </c>
      <c r="R24" s="40">
        <v>36330</v>
      </c>
      <c r="S24" s="40"/>
      <c r="V24" t="str">
        <v>2022-05</v>
      </c>
      <c r="W24" t="str">
        <v>Miriam Maisel</v>
      </c>
      <c r="X24" s="40">
        <v>3400</v>
      </c>
      <c r="AB24" t="str">
        <v>Miriam Maisel</v>
      </c>
      <c r="AC24" t="str">
        <v>PlanAhead</v>
      </c>
      <c r="AD24" s="40">
        <v>16350</v>
      </c>
      <c r="AE24" s="40">
        <v>34530</v>
      </c>
      <c r="AF24" s="40">
        <v>5000</v>
      </c>
      <c r="AG24" s="40"/>
      <c r="AH24" s="40"/>
    </row>
    <row r="25" spans="1:34">
      <c r="A25" s="41">
        <v>44649</v>
      </c>
      <c r="B25" s="42" t="s">
        <v>188</v>
      </c>
      <c r="C25" s="42" t="s">
        <v>192</v>
      </c>
      <c r="D25" s="42" t="s">
        <v>202</v>
      </c>
      <c r="E25" s="43">
        <v>8070</v>
      </c>
      <c r="G25" t="str">
        <v>Productivity</v>
      </c>
      <c r="H25" t="str">
        <v>Rachel Green</v>
      </c>
      <c r="I25" t="str">
        <v>TaskMaster</v>
      </c>
      <c r="J25" s="40">
        <v>28150</v>
      </c>
      <c r="Q25" t="str">
        <v>2023-12</v>
      </c>
      <c r="R25" s="40">
        <v>81040</v>
      </c>
      <c r="S25" s="40"/>
      <c r="V25" t="str">
        <v>2022-05</v>
      </c>
      <c r="W25" t="str">
        <v>Rachel Green</v>
      </c>
      <c r="X25" s="40">
        <v>7230</v>
      </c>
      <c r="AB25" t="str">
        <v>Miriam Maisel</v>
      </c>
      <c r="AC25" t="str">
        <v>TaskMaster</v>
      </c>
      <c r="AD25" s="40">
        <v>13100</v>
      </c>
      <c r="AE25" s="40">
        <v>28890</v>
      </c>
      <c r="AF25" s="40">
        <v>9180</v>
      </c>
      <c r="AG25" s="40"/>
      <c r="AH25" s="40"/>
    </row>
    <row r="26" spans="1:34">
      <c r="A26" s="41">
        <v>44656</v>
      </c>
      <c r="B26" s="42" t="s">
        <v>188</v>
      </c>
      <c r="C26" s="42" t="s">
        <v>189</v>
      </c>
      <c r="D26" s="42" t="s">
        <v>202</v>
      </c>
      <c r="E26" s="43">
        <v>4110</v>
      </c>
      <c r="G26" t="str">
        <v>Productivity</v>
      </c>
      <c r="H26" t="str">
        <v>Rachel Green</v>
      </c>
      <c r="I26" t="str">
        <v>TimeTracker</v>
      </c>
      <c r="J26" s="40">
        <v>24200</v>
      </c>
      <c r="Q26" t="str">
        <v>2024-01</v>
      </c>
      <c r="R26" s="40">
        <v>80220</v>
      </c>
      <c r="S26" s="40"/>
      <c r="V26" t="str">
        <v>2022-05</v>
      </c>
      <c r="W26" t="str">
        <v>Walter White</v>
      </c>
      <c r="X26" s="40">
        <v>16210</v>
      </c>
      <c r="AB26" t="str">
        <v>Miriam Maisel</v>
      </c>
      <c r="AC26" t="str">
        <v>TimeTracker</v>
      </c>
      <c r="AD26" s="40">
        <v>14900</v>
      </c>
      <c r="AE26" s="40">
        <v>7930</v>
      </c>
      <c r="AF26" s="40">
        <v>7690</v>
      </c>
      <c r="AG26" s="40"/>
      <c r="AH26" s="40"/>
    </row>
    <row r="27" spans="1:34">
      <c r="A27" s="41">
        <v>44656</v>
      </c>
      <c r="B27" s="42" t="s">
        <v>182</v>
      </c>
      <c r="C27" s="42" t="s">
        <v>185</v>
      </c>
      <c r="D27" s="42" t="s">
        <v>204</v>
      </c>
      <c r="E27" s="43">
        <v>5480</v>
      </c>
      <c r="G27" t="str">
        <v>Productivity</v>
      </c>
      <c r="H27" t="str">
        <v/>
      </c>
      <c r="I27" t="str">
        <v/>
      </c>
      <c r="J27" s="40">
        <v>519950</v>
      </c>
      <c r="Q27" t="str">
        <v>2024-02</v>
      </c>
      <c r="R27" s="40">
        <v>87400</v>
      </c>
      <c r="S27" s="40"/>
      <c r="V27" t="str">
        <v>2022-06</v>
      </c>
      <c r="W27" t="str">
        <v>Christopher Moltisanti</v>
      </c>
      <c r="X27" s="40">
        <v>3700</v>
      </c>
      <c r="AB27" t="str">
        <v>Rachel Green</v>
      </c>
      <c r="AC27" t="str">
        <v>Efficienizer</v>
      </c>
      <c r="AD27" s="40">
        <v>9830</v>
      </c>
      <c r="AE27" s="40">
        <v>21590</v>
      </c>
      <c r="AF27" s="40">
        <v>31080</v>
      </c>
      <c r="AG27" s="40"/>
      <c r="AH27" s="40"/>
    </row>
    <row r="28" spans="1:34">
      <c r="A28" s="41">
        <v>44656</v>
      </c>
      <c r="B28" s="42" t="s">
        <v>182</v>
      </c>
      <c r="C28" s="42" t="s">
        <v>185</v>
      </c>
      <c r="D28" s="42" t="s">
        <v>205</v>
      </c>
      <c r="E28" s="43">
        <v>5500</v>
      </c>
      <c r="G28" t="str">
        <v>Utility</v>
      </c>
      <c r="H28" t="str">
        <v>Christopher Moltisanti</v>
      </c>
      <c r="I28" t="str">
        <v>ClimateControl</v>
      </c>
      <c r="J28" s="40">
        <v>27850</v>
      </c>
      <c r="Q28" t="str">
        <v>Total</v>
      </c>
      <c r="R28" s="40">
        <v>1449850</v>
      </c>
      <c r="S28" s="40"/>
      <c r="V28" t="str">
        <v>2022-06</v>
      </c>
      <c r="W28" t="str">
        <v>Mike Delfino</v>
      </c>
      <c r="X28" s="40">
        <v>12110</v>
      </c>
      <c r="AB28" t="str">
        <v>Rachel Green</v>
      </c>
      <c r="AC28" t="str">
        <v>FocusBoost</v>
      </c>
      <c r="AD28" s="40">
        <v>7420</v>
      </c>
      <c r="AE28" s="40">
        <v>22110</v>
      </c>
      <c r="AF28" s="40">
        <v>8260</v>
      </c>
      <c r="AG28" s="40"/>
      <c r="AH28" s="40"/>
    </row>
    <row r="29" spans="1:34">
      <c r="A29" s="41">
        <v>44671</v>
      </c>
      <c r="B29" s="42" t="s">
        <v>188</v>
      </c>
      <c r="C29" s="42" t="s">
        <v>192</v>
      </c>
      <c r="D29" s="42" t="s">
        <v>194</v>
      </c>
      <c r="E29" s="43">
        <v>8600</v>
      </c>
      <c r="G29" t="str">
        <v>Utility</v>
      </c>
      <c r="H29" t="str">
        <v>Christopher Moltisanti</v>
      </c>
      <c r="I29" t="str">
        <v>EcoLight</v>
      </c>
      <c r="J29" s="40">
        <v>37710</v>
      </c>
      <c r="R29" s="40"/>
      <c r="S29" s="40"/>
      <c r="V29" t="str">
        <v>2022-06</v>
      </c>
      <c r="W29" t="str">
        <v>Miriam Maisel</v>
      </c>
      <c r="X29" s="40">
        <v>15280</v>
      </c>
      <c r="AB29" t="str">
        <v>Rachel Green</v>
      </c>
      <c r="AC29" t="str">
        <v>GoalSetter</v>
      </c>
      <c r="AD29" s="40">
        <v>16550</v>
      </c>
      <c r="AE29" s="40">
        <v>39410</v>
      </c>
      <c r="AF29" s="40" t="str">
        <v/>
      </c>
      <c r="AG29" s="40"/>
      <c r="AH29" s="40"/>
    </row>
    <row r="30" spans="1:34">
      <c r="A30" s="41">
        <v>44672</v>
      </c>
      <c r="B30" s="42" t="s">
        <v>182</v>
      </c>
      <c r="C30" s="42" t="s">
        <v>183</v>
      </c>
      <c r="D30" s="42" t="s">
        <v>204</v>
      </c>
      <c r="E30" s="43">
        <v>3490</v>
      </c>
      <c r="G30" t="str">
        <v>Utility</v>
      </c>
      <c r="H30" t="str">
        <v>Christopher Moltisanti</v>
      </c>
      <c r="I30" t="str">
        <v>PowerSaver</v>
      </c>
      <c r="J30" s="40">
        <v>23710</v>
      </c>
      <c r="R30" s="40"/>
      <c r="S30" s="40"/>
      <c r="V30" t="str">
        <v>2022-06</v>
      </c>
      <c r="W30" t="str">
        <v>Rachel Green</v>
      </c>
      <c r="X30" s="40">
        <v>1930</v>
      </c>
      <c r="AB30" t="str">
        <v>Rachel Green</v>
      </c>
      <c r="AC30" t="str">
        <v>PlanAhead</v>
      </c>
      <c r="AD30" s="40">
        <v>19370</v>
      </c>
      <c r="AE30" s="40">
        <v>17630</v>
      </c>
      <c r="AF30" s="40" t="str">
        <v/>
      </c>
      <c r="AG30" s="40"/>
      <c r="AH30" s="40"/>
    </row>
    <row r="31" spans="1:34">
      <c r="A31" s="41">
        <v>44673</v>
      </c>
      <c r="B31" s="42" t="s">
        <v>176</v>
      </c>
      <c r="C31" s="42" t="s">
        <v>187</v>
      </c>
      <c r="D31" s="42" t="s">
        <v>191</v>
      </c>
      <c r="E31" s="43">
        <v>2570</v>
      </c>
      <c r="G31" t="str">
        <v>Utility</v>
      </c>
      <c r="H31" t="str">
        <v>Christopher Moltisanti</v>
      </c>
      <c r="I31" t="str">
        <v>ResourceManager</v>
      </c>
      <c r="J31" s="40">
        <v>67010</v>
      </c>
      <c r="R31" s="40"/>
      <c r="S31" s="40"/>
      <c r="V31" t="str">
        <v>2022-06</v>
      </c>
      <c r="W31" t="str">
        <v>Walter White</v>
      </c>
      <c r="X31" s="40">
        <v>8150</v>
      </c>
      <c r="AB31" t="str">
        <v>Rachel Green</v>
      </c>
      <c r="AC31" t="str">
        <v>TaskMaster</v>
      </c>
      <c r="AD31" s="40">
        <v>11260</v>
      </c>
      <c r="AE31" s="40">
        <v>14770</v>
      </c>
      <c r="AF31" s="40">
        <v>2120</v>
      </c>
      <c r="AG31" s="40"/>
      <c r="AH31" s="40"/>
    </row>
    <row r="32" spans="1:34">
      <c r="A32" s="41">
        <v>44673</v>
      </c>
      <c r="B32" s="42" t="s">
        <v>182</v>
      </c>
      <c r="C32" s="42" t="s">
        <v>183</v>
      </c>
      <c r="D32" s="42" t="s">
        <v>186</v>
      </c>
      <c r="E32" s="43">
        <v>4890</v>
      </c>
      <c r="G32" t="str">
        <v>Utility</v>
      </c>
      <c r="H32" t="str">
        <v>Christopher Moltisanti</v>
      </c>
      <c r="I32" t="str">
        <v>SmartGrid</v>
      </c>
      <c r="J32" s="40">
        <v>35730</v>
      </c>
      <c r="R32" s="40"/>
      <c r="S32" s="40"/>
      <c r="V32" t="str">
        <v>2022-07</v>
      </c>
      <c r="W32" t="str">
        <v>Christopher Moltisanti</v>
      </c>
      <c r="X32" s="40">
        <v>4060</v>
      </c>
      <c r="AB32" t="str">
        <v>Rachel Green</v>
      </c>
      <c r="AC32" t="str">
        <v>TimeTracker</v>
      </c>
      <c r="AD32" s="40">
        <v>11820</v>
      </c>
      <c r="AE32" s="40">
        <v>12380</v>
      </c>
      <c r="AF32" s="40" t="str">
        <v/>
      </c>
      <c r="AG32" s="40"/>
      <c r="AH32" s="40"/>
    </row>
    <row r="33" spans="1:34">
      <c r="A33" s="41">
        <v>44676</v>
      </c>
      <c r="B33" s="42" t="s">
        <v>182</v>
      </c>
      <c r="C33" s="42" t="s">
        <v>183</v>
      </c>
      <c r="D33" s="42" t="s">
        <v>204</v>
      </c>
      <c r="E33" s="43">
        <v>4340</v>
      </c>
      <c r="G33" t="str">
        <v>Utility</v>
      </c>
      <c r="H33" t="str">
        <v>Christopher Moltisanti</v>
      </c>
      <c r="I33" t="str">
        <v>WaterWorks</v>
      </c>
      <c r="J33" s="40">
        <v>10540</v>
      </c>
      <c r="R33" s="40"/>
      <c r="S33" s="40"/>
      <c r="V33" t="str">
        <v>2022-07</v>
      </c>
      <c r="W33" t="str">
        <v>Jesse Pinkman</v>
      </c>
      <c r="X33" s="40">
        <v>17580</v>
      </c>
      <c r="AB33" t="str">
        <v>Walter White</v>
      </c>
      <c r="AC33" t="str">
        <v>FitTrack</v>
      </c>
      <c r="AD33" s="40">
        <v>21780</v>
      </c>
      <c r="AE33" s="40">
        <v>13330</v>
      </c>
      <c r="AF33" s="40" t="str">
        <v/>
      </c>
      <c r="AG33" s="40"/>
      <c r="AH33" s="40"/>
    </row>
    <row r="34" spans="1:34">
      <c r="A34" s="41">
        <v>44681</v>
      </c>
      <c r="B34" s="42" t="s">
        <v>188</v>
      </c>
      <c r="C34" s="42" t="s">
        <v>189</v>
      </c>
      <c r="D34" s="42" t="s">
        <v>190</v>
      </c>
      <c r="E34" s="43">
        <v>8010</v>
      </c>
      <c r="G34" t="str">
        <v>Utility</v>
      </c>
      <c r="H34" t="str">
        <v>Mike Delfino</v>
      </c>
      <c r="I34" t="str">
        <v>ClimateControl</v>
      </c>
      <c r="J34" s="40">
        <v>27590</v>
      </c>
      <c r="R34" s="40"/>
      <c r="S34" s="40"/>
      <c r="V34" t="str">
        <v>2022-07</v>
      </c>
      <c r="W34" t="str">
        <v>Mike Delfino</v>
      </c>
      <c r="X34" s="40">
        <v>11680</v>
      </c>
      <c r="AB34" t="str">
        <v>Walter White</v>
      </c>
      <c r="AC34" t="str">
        <v>HealthPlus</v>
      </c>
      <c r="AD34" s="40">
        <v>8560</v>
      </c>
      <c r="AE34" s="40">
        <v>18610</v>
      </c>
      <c r="AF34" s="40">
        <v>13880</v>
      </c>
      <c r="AG34" s="40"/>
      <c r="AH34" s="40"/>
    </row>
    <row r="35" spans="1:34">
      <c r="A35" s="41">
        <v>44685</v>
      </c>
      <c r="B35" s="42" t="s">
        <v>188</v>
      </c>
      <c r="C35" s="42" t="s">
        <v>192</v>
      </c>
      <c r="D35" s="42" t="s">
        <v>190</v>
      </c>
      <c r="E35" s="43">
        <v>7760</v>
      </c>
      <c r="G35" t="str">
        <v>Utility</v>
      </c>
      <c r="H35" t="str">
        <v>Mike Delfino</v>
      </c>
      <c r="I35" t="str">
        <v>EcoLight</v>
      </c>
      <c r="J35" s="40">
        <v>4390</v>
      </c>
      <c r="R35" s="40"/>
      <c r="S35" s="40"/>
      <c r="V35" t="str">
        <v>2022-07</v>
      </c>
      <c r="W35" t="str">
        <v>Miriam Maisel</v>
      </c>
      <c r="X35" s="40">
        <v>13830</v>
      </c>
      <c r="AB35" t="str">
        <v>Walter White</v>
      </c>
      <c r="AC35" t="str">
        <v>LifeBalance</v>
      </c>
      <c r="AD35" s="40">
        <v>23900</v>
      </c>
      <c r="AE35" s="40">
        <v>17090</v>
      </c>
      <c r="AF35" s="40" t="str">
        <v/>
      </c>
      <c r="AG35" s="40"/>
      <c r="AH35" s="40"/>
    </row>
    <row r="36" spans="1:34">
      <c r="A36" s="41">
        <v>44687</v>
      </c>
      <c r="B36" s="42" t="s">
        <v>188</v>
      </c>
      <c r="C36" s="42" t="s">
        <v>189</v>
      </c>
      <c r="D36" s="42" t="s">
        <v>201</v>
      </c>
      <c r="E36" s="43">
        <v>840</v>
      </c>
      <c r="G36" t="str">
        <v>Utility</v>
      </c>
      <c r="H36" t="str">
        <v>Mike Delfino</v>
      </c>
      <c r="I36" t="str">
        <v>PowerSaver</v>
      </c>
      <c r="J36" s="40">
        <v>56960</v>
      </c>
      <c r="R36" s="40"/>
      <c r="S36" s="40"/>
      <c r="V36" t="str">
        <v>2022-07</v>
      </c>
      <c r="W36" t="str">
        <v>Rachel Green</v>
      </c>
      <c r="X36" s="40">
        <v>1970</v>
      </c>
      <c r="AB36" t="str">
        <v>Walter White</v>
      </c>
      <c r="AC36" t="str">
        <v>NutriWatch</v>
      </c>
      <c r="AD36" s="40">
        <v>8640</v>
      </c>
      <c r="AE36" s="40">
        <v>18200</v>
      </c>
      <c r="AF36" s="40">
        <v>3560</v>
      </c>
      <c r="AG36" s="40"/>
      <c r="AH36" s="40"/>
    </row>
    <row r="37" spans="1:34">
      <c r="A37" s="41">
        <v>44688</v>
      </c>
      <c r="B37" s="42" t="s">
        <v>182</v>
      </c>
      <c r="C37" s="42" t="s">
        <v>183</v>
      </c>
      <c r="D37" s="42" t="s">
        <v>186</v>
      </c>
      <c r="E37" s="43">
        <v>3400</v>
      </c>
      <c r="G37" t="str">
        <v>Utility</v>
      </c>
      <c r="H37" t="str">
        <v>Mike Delfino</v>
      </c>
      <c r="I37" t="str">
        <v>ResourceManager</v>
      </c>
      <c r="J37" s="40">
        <v>19300</v>
      </c>
      <c r="R37" s="40"/>
      <c r="S37" s="40"/>
      <c r="V37" t="str">
        <v>2022-07</v>
      </c>
      <c r="W37" t="str">
        <v>Walter White</v>
      </c>
      <c r="X37" s="40">
        <v>6910</v>
      </c>
      <c r="AB37" t="str">
        <v>Walter White</v>
      </c>
      <c r="AC37" t="str">
        <v>VitalitySensor</v>
      </c>
      <c r="AD37" s="40">
        <v>29460</v>
      </c>
      <c r="AE37" s="40">
        <v>13830</v>
      </c>
      <c r="AF37" s="40">
        <v>7130</v>
      </c>
      <c r="AG37" s="40"/>
      <c r="AH37" s="40"/>
    </row>
    <row r="38" spans="1:34">
      <c r="A38" s="41">
        <v>44692</v>
      </c>
      <c r="B38" s="42" t="s">
        <v>176</v>
      </c>
      <c r="C38" s="42" t="s">
        <v>187</v>
      </c>
      <c r="D38" s="42" t="s">
        <v>206</v>
      </c>
      <c r="E38" s="43">
        <v>6500</v>
      </c>
      <c r="G38" t="str">
        <v>Utility</v>
      </c>
      <c r="H38" t="str">
        <v>Mike Delfino</v>
      </c>
      <c r="I38" t="str">
        <v>SmartGrid</v>
      </c>
      <c r="J38" s="40">
        <v>28980</v>
      </c>
      <c r="R38" s="40"/>
      <c r="S38" s="40"/>
      <c r="V38" t="str">
        <v>2022-08</v>
      </c>
      <c r="W38" t="str">
        <v>Christopher Moltisanti</v>
      </c>
      <c r="X38" s="40">
        <v>9620</v>
      </c>
      <c r="AB38" t="str">
        <v>Walter White</v>
      </c>
      <c r="AC38" t="str">
        <v>WellnessMonitor</v>
      </c>
      <c r="AD38" s="40">
        <v>23730</v>
      </c>
      <c r="AE38" s="40">
        <v>16630</v>
      </c>
      <c r="AF38" s="40" t="str">
        <v/>
      </c>
      <c r="AG38" s="40"/>
      <c r="AH38" s="40"/>
    </row>
    <row r="39" spans="1:34">
      <c r="A39" s="41">
        <v>44692</v>
      </c>
      <c r="B39" s="42" t="s">
        <v>182</v>
      </c>
      <c r="C39" s="42" t="s">
        <v>185</v>
      </c>
      <c r="D39" s="42" t="s">
        <v>186</v>
      </c>
      <c r="E39" s="43">
        <v>5100</v>
      </c>
      <c r="G39" t="str">
        <v>Utility</v>
      </c>
      <c r="H39" t="str">
        <v>Mike Delfino</v>
      </c>
      <c r="I39" t="str">
        <v>WaterWorks</v>
      </c>
      <c r="J39" s="40">
        <v>50410</v>
      </c>
      <c r="R39" s="40"/>
      <c r="S39" s="40"/>
      <c r="V39" t="str">
        <v>2022-08</v>
      </c>
      <c r="W39" t="str">
        <v>Jesse Pinkman</v>
      </c>
      <c r="X39" s="40">
        <v>1770</v>
      </c>
      <c r="AB39" t="str">
        <v>Total</v>
      </c>
      <c r="AC39" t="str">
        <v/>
      </c>
      <c r="AD39" s="40">
        <v>527730</v>
      </c>
      <c r="AE39" s="40">
        <v>754500</v>
      </c>
      <c r="AF39" s="40">
        <v>167620</v>
      </c>
      <c r="AG39" s="40"/>
      <c r="AH39" s="40"/>
    </row>
    <row r="40" spans="1:34">
      <c r="A40" s="41">
        <v>44694</v>
      </c>
      <c r="B40" s="42" t="s">
        <v>188</v>
      </c>
      <c r="C40" s="42" t="s">
        <v>192</v>
      </c>
      <c r="D40" s="42" t="s">
        <v>197</v>
      </c>
      <c r="E40" s="43">
        <v>2960</v>
      </c>
      <c r="G40" t="str">
        <v>Utility</v>
      </c>
      <c r="H40" t="str">
        <v/>
      </c>
      <c r="I40" t="str">
        <v/>
      </c>
      <c r="J40" s="40">
        <v>390180</v>
      </c>
      <c r="R40" s="40"/>
      <c r="S40" s="40"/>
      <c r="V40" t="str">
        <v>2022-08</v>
      </c>
      <c r="W40" t="str">
        <v>Mike Delfino</v>
      </c>
      <c r="X40" s="40">
        <v>2140</v>
      </c>
      <c r="AD40" s="40"/>
      <c r="AE40" s="40"/>
      <c r="AF40" s="40"/>
      <c r="AG40" s="40"/>
      <c r="AH40" s="40"/>
    </row>
    <row r="41" spans="1:34">
      <c r="A41" s="41">
        <v>44698</v>
      </c>
      <c r="B41" s="42" t="s">
        <v>188</v>
      </c>
      <c r="C41" s="42" t="s">
        <v>189</v>
      </c>
      <c r="D41" s="42" t="s">
        <v>194</v>
      </c>
      <c r="E41" s="43">
        <v>6570</v>
      </c>
      <c r="G41" t="str">
        <v>Grand Total</v>
      </c>
      <c r="H41" t="str">
        <v/>
      </c>
      <c r="I41" t="str">
        <v/>
      </c>
      <c r="J41" s="40">
        <v>1449850</v>
      </c>
      <c r="R41" s="40"/>
      <c r="S41" s="40"/>
      <c r="V41" t="str">
        <v>2022-08</v>
      </c>
      <c r="W41" t="str">
        <v>Miriam Maisel</v>
      </c>
      <c r="X41" s="40">
        <v>3170</v>
      </c>
      <c r="AD41" s="40"/>
      <c r="AE41" s="40"/>
      <c r="AF41" s="40"/>
      <c r="AG41" s="40"/>
      <c r="AH41" s="40"/>
    </row>
    <row r="42" spans="1:34">
      <c r="A42" s="41">
        <v>44700</v>
      </c>
      <c r="B42" s="42" t="s">
        <v>176</v>
      </c>
      <c r="C42" s="42" t="s">
        <v>177</v>
      </c>
      <c r="D42" s="42" t="s">
        <v>207</v>
      </c>
      <c r="E42" s="43">
        <v>5410</v>
      </c>
      <c r="R42" s="40"/>
      <c r="S42" s="40"/>
      <c r="V42" t="str">
        <v>2022-08</v>
      </c>
      <c r="W42" t="str">
        <v>Rachel Green</v>
      </c>
      <c r="X42" s="40">
        <v>17310</v>
      </c>
      <c r="AD42" s="40"/>
      <c r="AE42" s="40"/>
      <c r="AF42" s="40"/>
      <c r="AG42" s="40"/>
      <c r="AH42" s="40"/>
    </row>
    <row r="43" spans="1:34">
      <c r="A43" s="41">
        <v>44703</v>
      </c>
      <c r="B43" s="42" t="s">
        <v>176</v>
      </c>
      <c r="C43" s="42" t="s">
        <v>177</v>
      </c>
      <c r="D43" s="42" t="s">
        <v>206</v>
      </c>
      <c r="E43" s="43">
        <v>5160</v>
      </c>
      <c r="R43" s="40"/>
      <c r="S43" s="40"/>
      <c r="V43" t="str">
        <v>2022-09</v>
      </c>
      <c r="W43" t="str">
        <v>Christopher Moltisanti</v>
      </c>
      <c r="X43" s="40">
        <v>11130</v>
      </c>
      <c r="AD43" s="40"/>
      <c r="AE43" s="40"/>
      <c r="AF43" s="40"/>
      <c r="AG43" s="40"/>
      <c r="AH43" s="40"/>
    </row>
    <row r="44" spans="1:34">
      <c r="A44" s="41">
        <v>44706</v>
      </c>
      <c r="B44" s="42" t="s">
        <v>182</v>
      </c>
      <c r="C44" s="42" t="s">
        <v>185</v>
      </c>
      <c r="D44" s="42" t="s">
        <v>204</v>
      </c>
      <c r="E44" s="43">
        <v>2130</v>
      </c>
      <c r="R44" s="40"/>
      <c r="S44" s="40"/>
      <c r="V44" t="str">
        <v>2022-09</v>
      </c>
      <c r="W44" t="str">
        <v>Jesse Pinkman</v>
      </c>
      <c r="X44" s="40">
        <v>11340</v>
      </c>
      <c r="AD44" s="40"/>
      <c r="AE44" s="40"/>
      <c r="AF44" s="40"/>
      <c r="AG44" s="40"/>
      <c r="AH44" s="40"/>
    </row>
    <row r="45" spans="1:34">
      <c r="A45" s="41">
        <v>44707</v>
      </c>
      <c r="B45" s="42" t="s">
        <v>188</v>
      </c>
      <c r="C45" s="42" t="s">
        <v>192</v>
      </c>
      <c r="D45" s="42" t="s">
        <v>194</v>
      </c>
      <c r="E45" s="43">
        <v>5490</v>
      </c>
      <c r="R45" s="40"/>
      <c r="S45" s="40"/>
      <c r="V45" t="str">
        <v>2022-09</v>
      </c>
      <c r="W45" t="str">
        <v>Mike Delfino</v>
      </c>
      <c r="X45" s="40">
        <v>3130</v>
      </c>
      <c r="AD45" s="40"/>
      <c r="AE45" s="40"/>
      <c r="AF45" s="40"/>
      <c r="AG45" s="40"/>
      <c r="AH45" s="40"/>
    </row>
    <row r="46" spans="1:34">
      <c r="A46" s="41">
        <v>44709</v>
      </c>
      <c r="B46" s="42" t="s">
        <v>176</v>
      </c>
      <c r="C46" s="42" t="s">
        <v>177</v>
      </c>
      <c r="D46" s="42" t="s">
        <v>178</v>
      </c>
      <c r="E46" s="43">
        <v>5840</v>
      </c>
      <c r="R46" s="40"/>
      <c r="S46" s="40"/>
      <c r="V46" t="str">
        <v>2022-09</v>
      </c>
      <c r="W46" t="str">
        <v>Rachel Green</v>
      </c>
      <c r="X46" s="40">
        <v>5970</v>
      </c>
      <c r="AD46" s="40"/>
      <c r="AE46" s="40"/>
      <c r="AF46" s="40"/>
      <c r="AG46" s="40"/>
      <c r="AH46" s="40"/>
    </row>
    <row r="47" spans="1:34">
      <c r="A47" s="41">
        <v>44717</v>
      </c>
      <c r="B47" s="42" t="s">
        <v>176</v>
      </c>
      <c r="C47" s="42" t="s">
        <v>187</v>
      </c>
      <c r="D47" s="42" t="s">
        <v>207</v>
      </c>
      <c r="E47" s="43">
        <v>6070</v>
      </c>
      <c r="R47" s="40"/>
      <c r="S47" s="40"/>
      <c r="V47" t="str">
        <v>2022-09</v>
      </c>
      <c r="W47" t="str">
        <v>Walter White</v>
      </c>
      <c r="X47" s="40">
        <v>4730</v>
      </c>
      <c r="AD47" s="40"/>
      <c r="AE47" s="40"/>
      <c r="AF47" s="40"/>
      <c r="AG47" s="40"/>
      <c r="AH47" s="40"/>
    </row>
    <row r="48" spans="1:34">
      <c r="A48" s="41">
        <v>44722</v>
      </c>
      <c r="B48" s="42" t="s">
        <v>176</v>
      </c>
      <c r="C48" s="42" t="s">
        <v>187</v>
      </c>
      <c r="D48" s="42" t="s">
        <v>208</v>
      </c>
      <c r="E48" s="43">
        <v>6040</v>
      </c>
      <c r="R48" s="40"/>
      <c r="S48" s="40"/>
      <c r="V48" t="str">
        <v>2022-10</v>
      </c>
      <c r="W48" t="str">
        <v>Christopher Moltisanti</v>
      </c>
      <c r="X48" s="40">
        <v>4130</v>
      </c>
      <c r="AD48" s="40"/>
      <c r="AE48" s="40"/>
      <c r="AF48" s="40"/>
      <c r="AG48" s="40"/>
      <c r="AH48" s="40"/>
    </row>
    <row r="49" spans="1:34">
      <c r="A49" s="41">
        <v>44723</v>
      </c>
      <c r="B49" s="42" t="s">
        <v>182</v>
      </c>
      <c r="C49" s="42" t="s">
        <v>183</v>
      </c>
      <c r="D49" s="42" t="s">
        <v>186</v>
      </c>
      <c r="E49" s="43">
        <v>3040</v>
      </c>
      <c r="R49" s="40"/>
      <c r="S49" s="40"/>
      <c r="V49" t="str">
        <v>2022-10</v>
      </c>
      <c r="W49" t="str">
        <v>Jesse Pinkman</v>
      </c>
      <c r="X49" s="40">
        <v>15700</v>
      </c>
      <c r="AD49" s="40"/>
      <c r="AE49" s="40"/>
      <c r="AF49" s="40"/>
      <c r="AG49" s="40"/>
      <c r="AH49" s="40"/>
    </row>
    <row r="50" spans="1:34">
      <c r="A50" s="41">
        <v>44724</v>
      </c>
      <c r="B50" s="42" t="s">
        <v>182</v>
      </c>
      <c r="C50" s="42" t="s">
        <v>183</v>
      </c>
      <c r="D50" s="42" t="s">
        <v>195</v>
      </c>
      <c r="E50" s="43">
        <v>630</v>
      </c>
      <c r="R50" s="40"/>
      <c r="S50" s="40"/>
      <c r="V50" t="str">
        <v>2022-10</v>
      </c>
      <c r="W50" t="str">
        <v>Mike Delfino</v>
      </c>
      <c r="X50" s="40">
        <v>2500</v>
      </c>
      <c r="AD50" s="40"/>
      <c r="AE50" s="40"/>
      <c r="AF50" s="40"/>
      <c r="AG50" s="40"/>
      <c r="AH50" s="40"/>
    </row>
    <row r="51" spans="1:34">
      <c r="A51" s="41">
        <v>44727</v>
      </c>
      <c r="B51" s="42" t="s">
        <v>176</v>
      </c>
      <c r="C51" s="42" t="s">
        <v>177</v>
      </c>
      <c r="D51" s="42" t="s">
        <v>208</v>
      </c>
      <c r="E51" s="43">
        <v>2300</v>
      </c>
      <c r="R51" s="40"/>
      <c r="S51" s="40"/>
      <c r="V51" t="str">
        <v>2022-10</v>
      </c>
      <c r="W51" t="str">
        <v>Miriam Maisel</v>
      </c>
      <c r="X51" s="40">
        <v>3360</v>
      </c>
      <c r="AD51" s="40"/>
      <c r="AE51" s="40"/>
      <c r="AF51" s="40"/>
      <c r="AG51" s="40"/>
      <c r="AH51" s="40"/>
    </row>
    <row r="52" spans="1:34">
      <c r="A52" s="41">
        <v>44727</v>
      </c>
      <c r="B52" s="42" t="s">
        <v>182</v>
      </c>
      <c r="C52" s="42" t="s">
        <v>183</v>
      </c>
      <c r="D52" s="42" t="s">
        <v>199</v>
      </c>
      <c r="E52" s="43">
        <v>7030</v>
      </c>
      <c r="R52" s="40"/>
      <c r="S52" s="40"/>
      <c r="V52" t="str">
        <v>2022-10</v>
      </c>
      <c r="W52" t="str">
        <v>Rachel Green</v>
      </c>
      <c r="X52" s="40">
        <v>9790</v>
      </c>
      <c r="AD52" s="40"/>
      <c r="AE52" s="40"/>
      <c r="AF52" s="40"/>
      <c r="AG52" s="40"/>
      <c r="AH52" s="40"/>
    </row>
    <row r="53" spans="1:34">
      <c r="A53" s="41">
        <v>44731</v>
      </c>
      <c r="B53" s="42" t="s">
        <v>188</v>
      </c>
      <c r="C53" s="42" t="s">
        <v>192</v>
      </c>
      <c r="D53" s="42" t="s">
        <v>202</v>
      </c>
      <c r="E53" s="43">
        <v>8150</v>
      </c>
      <c r="R53" s="40"/>
      <c r="S53" s="40"/>
      <c r="V53" t="str">
        <v>2022-10</v>
      </c>
      <c r="W53" t="str">
        <v>Walter White</v>
      </c>
      <c r="X53" s="40">
        <v>11400</v>
      </c>
      <c r="AD53" s="40"/>
      <c r="AE53" s="40"/>
      <c r="AF53" s="40"/>
      <c r="AG53" s="40"/>
      <c r="AH53" s="40"/>
    </row>
    <row r="54" spans="1:34">
      <c r="A54" s="41">
        <v>44737</v>
      </c>
      <c r="B54" s="42" t="s">
        <v>176</v>
      </c>
      <c r="C54" s="42" t="s">
        <v>177</v>
      </c>
      <c r="D54" s="42" t="s">
        <v>178</v>
      </c>
      <c r="E54" s="43">
        <v>1400</v>
      </c>
      <c r="R54" s="40"/>
      <c r="S54" s="40"/>
      <c r="V54" t="str">
        <v>2022-11</v>
      </c>
      <c r="W54" t="str">
        <v>Christopher Moltisanti</v>
      </c>
      <c r="X54" s="40">
        <v>3600</v>
      </c>
      <c r="AD54" s="40"/>
      <c r="AE54" s="40"/>
      <c r="AF54" s="40"/>
      <c r="AG54" s="40"/>
      <c r="AH54" s="40"/>
    </row>
    <row r="55" spans="1:34">
      <c r="A55" s="41">
        <v>44740</v>
      </c>
      <c r="B55" s="42" t="s">
        <v>182</v>
      </c>
      <c r="C55" s="42" t="s">
        <v>185</v>
      </c>
      <c r="D55" s="42" t="s">
        <v>195</v>
      </c>
      <c r="E55" s="43">
        <v>1930</v>
      </c>
      <c r="R55" s="40"/>
      <c r="S55" s="40"/>
      <c r="V55" t="str">
        <v>2022-11</v>
      </c>
      <c r="W55" t="str">
        <v>Jesse Pinkman</v>
      </c>
      <c r="X55" s="40">
        <v>5360</v>
      </c>
      <c r="AD55" s="40"/>
      <c r="AE55" s="40"/>
      <c r="AF55" s="40"/>
      <c r="AG55" s="40"/>
      <c r="AH55" s="40"/>
    </row>
    <row r="56" spans="1:34">
      <c r="A56" s="41">
        <v>44741</v>
      </c>
      <c r="B56" s="42" t="s">
        <v>182</v>
      </c>
      <c r="C56" s="42" t="s">
        <v>183</v>
      </c>
      <c r="D56" s="42" t="s">
        <v>204</v>
      </c>
      <c r="E56" s="43">
        <v>4580</v>
      </c>
      <c r="R56" s="40"/>
      <c r="S56" s="40"/>
      <c r="V56" t="str">
        <v>2022-11</v>
      </c>
      <c r="W56" t="str">
        <v>Mike Delfino</v>
      </c>
      <c r="X56" s="40">
        <v>3920</v>
      </c>
      <c r="AD56" s="40"/>
      <c r="AE56" s="40"/>
      <c r="AF56" s="40"/>
      <c r="AG56" s="40"/>
      <c r="AH56" s="40"/>
    </row>
    <row r="57" spans="1:34">
      <c r="A57" s="50">
        <v>44743</v>
      </c>
      <c r="B57" s="51" t="s">
        <v>176</v>
      </c>
      <c r="C57" s="51" t="s">
        <v>187</v>
      </c>
      <c r="D57" s="51" t="s">
        <v>191</v>
      </c>
      <c r="E57" s="52">
        <v>2600</v>
      </c>
      <c r="R57" s="40"/>
      <c r="S57" s="40"/>
      <c r="V57" t="str">
        <v>2022-11</v>
      </c>
      <c r="W57" t="str">
        <v>Miriam Maisel</v>
      </c>
      <c r="X57" s="40">
        <v>6550</v>
      </c>
      <c r="AD57" s="40"/>
      <c r="AE57" s="40"/>
      <c r="AF57" s="40"/>
      <c r="AG57" s="40"/>
      <c r="AH57" s="40"/>
    </row>
    <row r="58" spans="1:34">
      <c r="A58" s="41">
        <v>44744</v>
      </c>
      <c r="B58" s="42" t="s">
        <v>176</v>
      </c>
      <c r="C58" s="42" t="s">
        <v>187</v>
      </c>
      <c r="D58" s="42" t="s">
        <v>208</v>
      </c>
      <c r="E58" s="43">
        <v>180</v>
      </c>
      <c r="R58" s="40"/>
      <c r="S58" s="40"/>
      <c r="V58" t="str">
        <v>2022-11</v>
      </c>
      <c r="W58" t="str">
        <v>Rachel Green</v>
      </c>
      <c r="X58" s="40">
        <v>8450</v>
      </c>
      <c r="AD58" s="40"/>
      <c r="AE58" s="40"/>
      <c r="AF58" s="40"/>
      <c r="AG58" s="40"/>
      <c r="AH58" s="40"/>
    </row>
    <row r="59" spans="1:34">
      <c r="A59" s="41">
        <v>44744</v>
      </c>
      <c r="B59" s="42" t="s">
        <v>176</v>
      </c>
      <c r="C59" s="42" t="s">
        <v>187</v>
      </c>
      <c r="D59" s="42" t="s">
        <v>208</v>
      </c>
      <c r="E59" s="43">
        <v>6500</v>
      </c>
      <c r="R59" s="40"/>
      <c r="S59" s="40"/>
      <c r="V59" t="str">
        <v>2022-11</v>
      </c>
      <c r="W59" t="str">
        <v>Walter White</v>
      </c>
      <c r="X59" s="40">
        <v>14480</v>
      </c>
      <c r="AD59" s="40"/>
      <c r="AE59" s="40"/>
      <c r="AF59" s="40"/>
      <c r="AG59" s="40"/>
      <c r="AH59" s="40"/>
    </row>
    <row r="60" spans="1:34">
      <c r="A60" s="41">
        <v>44746</v>
      </c>
      <c r="B60" s="42" t="s">
        <v>188</v>
      </c>
      <c r="C60" s="42" t="s">
        <v>189</v>
      </c>
      <c r="D60" s="42" t="s">
        <v>201</v>
      </c>
      <c r="E60" s="43">
        <v>2480</v>
      </c>
      <c r="R60" s="40"/>
      <c r="S60" s="40"/>
      <c r="V60" t="str">
        <v>2022-12</v>
      </c>
      <c r="W60" t="str">
        <v>Christopher Moltisanti</v>
      </c>
      <c r="X60" s="40">
        <v>10580</v>
      </c>
      <c r="AD60" s="40"/>
      <c r="AE60" s="40"/>
      <c r="AF60" s="40"/>
      <c r="AG60" s="40"/>
      <c r="AH60" s="40"/>
    </row>
    <row r="61" spans="1:34">
      <c r="A61" s="41">
        <v>44749</v>
      </c>
      <c r="B61" s="42" t="s">
        <v>182</v>
      </c>
      <c r="C61" s="42" t="s">
        <v>185</v>
      </c>
      <c r="D61" s="42" t="s">
        <v>204</v>
      </c>
      <c r="E61" s="43">
        <v>1970</v>
      </c>
      <c r="R61" s="40"/>
      <c r="S61" s="40"/>
      <c r="V61" t="str">
        <v>2022-12</v>
      </c>
      <c r="W61" t="str">
        <v>Jesse Pinkman</v>
      </c>
      <c r="X61" s="40">
        <v>8220</v>
      </c>
      <c r="AD61" s="40"/>
      <c r="AE61" s="40"/>
      <c r="AF61" s="40"/>
      <c r="AG61" s="40"/>
      <c r="AH61" s="40"/>
    </row>
    <row r="62" spans="1:34">
      <c r="A62" s="41">
        <v>44749</v>
      </c>
      <c r="B62" s="42" t="s">
        <v>188</v>
      </c>
      <c r="C62" s="42" t="s">
        <v>189</v>
      </c>
      <c r="D62" s="42" t="s">
        <v>190</v>
      </c>
      <c r="E62" s="43">
        <v>5470</v>
      </c>
      <c r="R62" s="40"/>
      <c r="S62" s="40"/>
      <c r="V62" t="str">
        <v>2022-12</v>
      </c>
      <c r="W62" t="str">
        <v>Miriam Maisel</v>
      </c>
      <c r="X62" s="40">
        <v>10420</v>
      </c>
    </row>
    <row r="63" spans="1:34">
      <c r="A63" s="41">
        <v>44751</v>
      </c>
      <c r="B63" s="42" t="s">
        <v>188</v>
      </c>
      <c r="C63" s="42" t="s">
        <v>192</v>
      </c>
      <c r="D63" s="42" t="s">
        <v>202</v>
      </c>
      <c r="E63" s="43">
        <v>6910</v>
      </c>
      <c r="R63" s="40"/>
      <c r="S63" s="40"/>
      <c r="V63" t="str">
        <v>2023-01</v>
      </c>
      <c r="W63" t="str">
        <v>Christopher Moltisanti</v>
      </c>
      <c r="X63" s="40">
        <v>6130</v>
      </c>
    </row>
    <row r="64" spans="1:34">
      <c r="A64" s="41">
        <v>44752</v>
      </c>
      <c r="B64" s="42" t="s">
        <v>176</v>
      </c>
      <c r="C64" s="42" t="s">
        <v>177</v>
      </c>
      <c r="D64" s="42" t="s">
        <v>191</v>
      </c>
      <c r="E64" s="43">
        <v>4060</v>
      </c>
      <c r="R64" s="40"/>
      <c r="S64" s="40"/>
      <c r="V64" t="str">
        <v>2023-01</v>
      </c>
      <c r="W64" t="str">
        <v>Jesse Pinkman</v>
      </c>
      <c r="X64" s="40">
        <v>17380</v>
      </c>
    </row>
    <row r="65" spans="1:24">
      <c r="A65" s="41">
        <v>44757</v>
      </c>
      <c r="B65" s="42" t="s">
        <v>188</v>
      </c>
      <c r="C65" s="42" t="s">
        <v>189</v>
      </c>
      <c r="D65" s="42" t="s">
        <v>197</v>
      </c>
      <c r="E65" s="43">
        <v>2580</v>
      </c>
      <c r="R65" s="40"/>
      <c r="S65" s="40"/>
      <c r="V65" t="str">
        <v>2023-01</v>
      </c>
      <c r="W65" t="str">
        <v>Mike Delfino</v>
      </c>
      <c r="X65" s="40">
        <v>14820</v>
      </c>
    </row>
    <row r="66" spans="1:24">
      <c r="A66" s="41">
        <v>44757</v>
      </c>
      <c r="B66" s="42" t="s">
        <v>182</v>
      </c>
      <c r="C66" s="42" t="s">
        <v>183</v>
      </c>
      <c r="D66" s="42" t="s">
        <v>199</v>
      </c>
      <c r="E66" s="43">
        <v>1540</v>
      </c>
      <c r="R66" s="40"/>
      <c r="S66" s="40"/>
      <c r="V66" t="str">
        <v>2023-01</v>
      </c>
      <c r="W66" t="str">
        <v>Miriam Maisel</v>
      </c>
      <c r="X66" s="40">
        <v>16810</v>
      </c>
    </row>
    <row r="67" spans="1:24">
      <c r="A67" s="41">
        <v>44762</v>
      </c>
      <c r="B67" s="42" t="s">
        <v>176</v>
      </c>
      <c r="C67" s="42" t="s">
        <v>187</v>
      </c>
      <c r="D67" s="42" t="s">
        <v>191</v>
      </c>
      <c r="E67" s="43">
        <v>2400</v>
      </c>
      <c r="R67" s="40"/>
      <c r="S67" s="40"/>
      <c r="V67" t="str">
        <v>2023-01</v>
      </c>
      <c r="W67" t="str">
        <v>Rachel Green</v>
      </c>
      <c r="X67" s="40">
        <v>37470</v>
      </c>
    </row>
    <row r="68" spans="1:24">
      <c r="A68" s="41">
        <v>44762</v>
      </c>
      <c r="B68" s="42" t="s">
        <v>182</v>
      </c>
      <c r="C68" s="42" t="s">
        <v>183</v>
      </c>
      <c r="D68" s="42" t="s">
        <v>184</v>
      </c>
      <c r="E68" s="43">
        <v>5670</v>
      </c>
      <c r="R68" s="40"/>
      <c r="S68" s="40"/>
      <c r="V68" t="str">
        <v>2023-02</v>
      </c>
      <c r="W68" t="str">
        <v>Christopher Moltisanti</v>
      </c>
      <c r="X68" s="40">
        <v>9700</v>
      </c>
    </row>
    <row r="69" spans="1:24">
      <c r="A69" s="41">
        <v>44764</v>
      </c>
      <c r="B69" s="42" t="s">
        <v>182</v>
      </c>
      <c r="C69" s="42" t="s">
        <v>183</v>
      </c>
      <c r="D69" s="42" t="s">
        <v>205</v>
      </c>
      <c r="E69" s="43">
        <v>5010</v>
      </c>
      <c r="R69" s="40"/>
      <c r="S69" s="40"/>
      <c r="V69" t="str">
        <v>2023-02</v>
      </c>
      <c r="W69" t="str">
        <v>Mike Delfino</v>
      </c>
      <c r="X69" s="40">
        <v>460</v>
      </c>
    </row>
    <row r="70" spans="1:24">
      <c r="A70" s="41">
        <v>44765</v>
      </c>
      <c r="B70" s="42" t="s">
        <v>188</v>
      </c>
      <c r="C70" s="42" t="s">
        <v>189</v>
      </c>
      <c r="D70" s="42" t="s">
        <v>202</v>
      </c>
      <c r="E70" s="43">
        <v>7050</v>
      </c>
      <c r="R70" s="40"/>
      <c r="S70" s="40"/>
      <c r="V70" t="str">
        <v>2023-02</v>
      </c>
      <c r="W70" t="str">
        <v>Miriam Maisel</v>
      </c>
      <c r="X70" s="40">
        <v>4360</v>
      </c>
    </row>
    <row r="71" spans="1:24">
      <c r="A71" s="41">
        <v>44772</v>
      </c>
      <c r="B71" s="42" t="s">
        <v>182</v>
      </c>
      <c r="C71" s="42" t="s">
        <v>183</v>
      </c>
      <c r="D71" s="42" t="s">
        <v>204</v>
      </c>
      <c r="E71" s="43">
        <v>1610</v>
      </c>
      <c r="R71" s="40"/>
      <c r="S71" s="40"/>
      <c r="V71" t="str">
        <v>2023-02</v>
      </c>
      <c r="W71" t="str">
        <v>Rachel Green</v>
      </c>
      <c r="X71" s="40">
        <v>3310</v>
      </c>
    </row>
    <row r="72" spans="1:24">
      <c r="A72" s="41">
        <v>44774</v>
      </c>
      <c r="B72" s="42" t="s">
        <v>188</v>
      </c>
      <c r="C72" s="42" t="s">
        <v>189</v>
      </c>
      <c r="D72" s="42" t="s">
        <v>201</v>
      </c>
      <c r="E72" s="43">
        <v>1770</v>
      </c>
      <c r="R72" s="40"/>
      <c r="S72" s="40"/>
      <c r="V72" t="str">
        <v>2023-02</v>
      </c>
      <c r="W72" t="str">
        <v>Walter White</v>
      </c>
      <c r="X72" s="40">
        <v>5980</v>
      </c>
    </row>
    <row r="73" spans="1:24">
      <c r="A73" s="41">
        <v>44783</v>
      </c>
      <c r="B73" s="42" t="s">
        <v>176</v>
      </c>
      <c r="C73" s="42" t="s">
        <v>177</v>
      </c>
      <c r="D73" s="42" t="s">
        <v>208</v>
      </c>
      <c r="E73" s="43">
        <v>2850</v>
      </c>
      <c r="R73" s="40"/>
      <c r="S73" s="40"/>
      <c r="V73" t="str">
        <v>2023-03</v>
      </c>
      <c r="W73" t="str">
        <v>Christopher Moltisanti</v>
      </c>
      <c r="X73" s="40">
        <v>16290</v>
      </c>
    </row>
    <row r="74" spans="1:24">
      <c r="A74" s="41">
        <v>44784</v>
      </c>
      <c r="B74" s="42" t="s">
        <v>182</v>
      </c>
      <c r="C74" s="42" t="s">
        <v>183</v>
      </c>
      <c r="D74" s="42" t="s">
        <v>195</v>
      </c>
      <c r="E74" s="43">
        <v>3170</v>
      </c>
      <c r="R74" s="40"/>
      <c r="S74" s="40"/>
      <c r="V74" t="str">
        <v>2023-03</v>
      </c>
      <c r="W74" t="str">
        <v>Miriam Maisel</v>
      </c>
      <c r="X74" s="40">
        <v>14610</v>
      </c>
    </row>
    <row r="75" spans="1:24">
      <c r="A75" s="41">
        <v>44784</v>
      </c>
      <c r="B75" s="42" t="s">
        <v>176</v>
      </c>
      <c r="C75" s="42" t="s">
        <v>177</v>
      </c>
      <c r="D75" s="42" t="s">
        <v>178</v>
      </c>
      <c r="E75" s="43">
        <v>270</v>
      </c>
      <c r="R75" s="40"/>
      <c r="S75" s="40"/>
      <c r="V75" t="str">
        <v>2023-03</v>
      </c>
      <c r="W75" t="str">
        <v>Rachel Green</v>
      </c>
      <c r="X75" s="40">
        <v>5350</v>
      </c>
    </row>
    <row r="76" spans="1:24">
      <c r="A76" s="41">
        <v>44786</v>
      </c>
      <c r="B76" s="42" t="s">
        <v>176</v>
      </c>
      <c r="C76" s="42" t="s">
        <v>187</v>
      </c>
      <c r="D76" s="42" t="s">
        <v>178</v>
      </c>
      <c r="E76" s="43">
        <v>2140</v>
      </c>
      <c r="R76" s="40"/>
      <c r="S76" s="40"/>
      <c r="V76" t="str">
        <v>2023-03</v>
      </c>
      <c r="W76" t="str">
        <v>Walter White</v>
      </c>
      <c r="X76" s="40">
        <v>4060</v>
      </c>
    </row>
    <row r="77" spans="1:24">
      <c r="A77" s="41">
        <v>44787</v>
      </c>
      <c r="B77" s="42" t="s">
        <v>182</v>
      </c>
      <c r="C77" s="42" t="s">
        <v>185</v>
      </c>
      <c r="D77" s="42" t="s">
        <v>184</v>
      </c>
      <c r="E77" s="43">
        <v>3240</v>
      </c>
      <c r="R77" s="40"/>
      <c r="S77" s="40"/>
      <c r="V77" t="str">
        <v>2023-04</v>
      </c>
      <c r="W77" t="str">
        <v>Christopher Moltisanti</v>
      </c>
      <c r="X77" s="40">
        <v>6830</v>
      </c>
    </row>
    <row r="78" spans="1:24">
      <c r="A78" s="41">
        <v>44787</v>
      </c>
      <c r="B78" s="42" t="s">
        <v>176</v>
      </c>
      <c r="C78" s="42" t="s">
        <v>177</v>
      </c>
      <c r="D78" s="42" t="s">
        <v>200</v>
      </c>
      <c r="E78" s="43">
        <v>6500</v>
      </c>
      <c r="R78" s="40"/>
      <c r="S78" s="40"/>
      <c r="V78" t="str">
        <v>2023-04</v>
      </c>
      <c r="W78" t="str">
        <v>Jesse Pinkman</v>
      </c>
      <c r="X78" s="40">
        <v>16370</v>
      </c>
    </row>
    <row r="79" spans="1:24">
      <c r="A79" s="41">
        <v>44792</v>
      </c>
      <c r="B79" s="42" t="s">
        <v>182</v>
      </c>
      <c r="C79" s="42" t="s">
        <v>185</v>
      </c>
      <c r="D79" s="42" t="s">
        <v>204</v>
      </c>
      <c r="E79" s="43">
        <v>5860</v>
      </c>
      <c r="R79" s="40"/>
      <c r="S79" s="40"/>
      <c r="V79" t="str">
        <v>2023-04</v>
      </c>
      <c r="W79" t="str">
        <v>Mike Delfino</v>
      </c>
      <c r="X79" s="40">
        <v>15690</v>
      </c>
    </row>
    <row r="80" spans="1:24">
      <c r="A80" s="41">
        <v>44795</v>
      </c>
      <c r="B80" s="42" t="s">
        <v>182</v>
      </c>
      <c r="C80" s="42" t="s">
        <v>185</v>
      </c>
      <c r="D80" s="42" t="s">
        <v>205</v>
      </c>
      <c r="E80" s="43">
        <v>4280</v>
      </c>
      <c r="R80" s="40"/>
      <c r="S80" s="40"/>
      <c r="V80" t="str">
        <v>2023-04</v>
      </c>
      <c r="W80" t="str">
        <v>Miriam Maisel</v>
      </c>
      <c r="X80" s="40">
        <v>2900</v>
      </c>
    </row>
    <row r="81" spans="1:24">
      <c r="A81" s="41">
        <v>44795</v>
      </c>
      <c r="B81" s="42" t="s">
        <v>182</v>
      </c>
      <c r="C81" s="42" t="s">
        <v>185</v>
      </c>
      <c r="D81" s="42" t="s">
        <v>204</v>
      </c>
      <c r="E81" s="43">
        <v>3930</v>
      </c>
      <c r="R81" s="40"/>
      <c r="S81" s="40"/>
      <c r="V81" t="str">
        <v>2023-04</v>
      </c>
      <c r="W81" t="str">
        <v>Rachel Green</v>
      </c>
      <c r="X81" s="40">
        <v>17500</v>
      </c>
    </row>
    <row r="82" spans="1:24">
      <c r="A82" s="41">
        <v>44809</v>
      </c>
      <c r="B82" s="42" t="s">
        <v>188</v>
      </c>
      <c r="C82" s="42" t="s">
        <v>192</v>
      </c>
      <c r="D82" s="42" t="s">
        <v>197</v>
      </c>
      <c r="E82" s="43">
        <v>3580</v>
      </c>
      <c r="R82" s="40"/>
      <c r="S82" s="40"/>
      <c r="V82" t="str">
        <v>2023-05</v>
      </c>
      <c r="W82" t="str">
        <v>Christopher Moltisanti</v>
      </c>
      <c r="X82" s="40">
        <v>8790</v>
      </c>
    </row>
    <row r="83" spans="1:24">
      <c r="A83" s="41">
        <v>44811</v>
      </c>
      <c r="B83" s="42" t="s">
        <v>188</v>
      </c>
      <c r="C83" s="42" t="s">
        <v>192</v>
      </c>
      <c r="D83" s="42" t="s">
        <v>190</v>
      </c>
      <c r="E83" s="43">
        <v>1150</v>
      </c>
      <c r="R83" s="40"/>
      <c r="S83" s="40"/>
      <c r="V83" t="str">
        <v>2023-05</v>
      </c>
      <c r="W83" t="str">
        <v>Mike Delfino</v>
      </c>
      <c r="X83" s="40">
        <v>18810</v>
      </c>
    </row>
    <row r="84" spans="1:24">
      <c r="A84" s="41">
        <v>44812</v>
      </c>
      <c r="B84" s="42" t="s">
        <v>176</v>
      </c>
      <c r="C84" s="42" t="s">
        <v>187</v>
      </c>
      <c r="D84" s="42" t="s">
        <v>207</v>
      </c>
      <c r="E84" s="43">
        <v>3130</v>
      </c>
      <c r="R84" s="40"/>
      <c r="S84" s="40"/>
      <c r="V84" t="str">
        <v>2023-05</v>
      </c>
      <c r="W84" t="str">
        <v>Miriam Maisel</v>
      </c>
      <c r="X84" s="40">
        <v>14740</v>
      </c>
    </row>
    <row r="85" spans="1:24">
      <c r="A85" s="41">
        <v>44815</v>
      </c>
      <c r="B85" s="42" t="s">
        <v>188</v>
      </c>
      <c r="C85" s="42" t="s">
        <v>189</v>
      </c>
      <c r="D85" s="42" t="s">
        <v>193</v>
      </c>
      <c r="E85" s="43">
        <v>4420</v>
      </c>
      <c r="R85" s="40"/>
      <c r="S85" s="40"/>
      <c r="V85" t="str">
        <v>2023-05</v>
      </c>
      <c r="W85" t="str">
        <v>Rachel Green</v>
      </c>
      <c r="X85" s="40">
        <v>14320</v>
      </c>
    </row>
    <row r="86" spans="1:24">
      <c r="A86" s="41">
        <v>44816</v>
      </c>
      <c r="B86" s="42" t="s">
        <v>188</v>
      </c>
      <c r="C86" s="42" t="s">
        <v>189</v>
      </c>
      <c r="D86" s="42" t="s">
        <v>193</v>
      </c>
      <c r="E86" s="43">
        <v>6920</v>
      </c>
      <c r="R86" s="40"/>
      <c r="S86" s="40"/>
      <c r="V86" t="str">
        <v>2023-06</v>
      </c>
      <c r="W86" t="str">
        <v>Jesse Pinkman</v>
      </c>
      <c r="X86" s="40">
        <v>32690</v>
      </c>
    </row>
    <row r="87" spans="1:24">
      <c r="A87" s="41">
        <v>44826</v>
      </c>
      <c r="B87" s="42" t="s">
        <v>182</v>
      </c>
      <c r="C87" s="42" t="s">
        <v>185</v>
      </c>
      <c r="D87" s="42" t="s">
        <v>184</v>
      </c>
      <c r="E87" s="43">
        <v>5410</v>
      </c>
      <c r="R87" s="40"/>
      <c r="S87" s="40"/>
      <c r="V87" t="str">
        <v>2023-06</v>
      </c>
      <c r="W87" t="str">
        <v>Mike Delfino</v>
      </c>
      <c r="X87" s="40">
        <v>2270</v>
      </c>
    </row>
    <row r="88" spans="1:24">
      <c r="A88" s="41">
        <v>44826</v>
      </c>
      <c r="B88" s="42" t="s">
        <v>176</v>
      </c>
      <c r="C88" s="42" t="s">
        <v>177</v>
      </c>
      <c r="D88" s="42" t="s">
        <v>207</v>
      </c>
      <c r="E88" s="43">
        <v>5530</v>
      </c>
      <c r="R88" s="40"/>
      <c r="S88" s="40"/>
      <c r="V88" t="str">
        <v>2023-06</v>
      </c>
      <c r="W88" t="str">
        <v>Miriam Maisel</v>
      </c>
      <c r="X88" s="40">
        <v>16340</v>
      </c>
    </row>
    <row r="89" spans="1:24">
      <c r="A89" s="41">
        <v>44827</v>
      </c>
      <c r="B89" s="42" t="s">
        <v>176</v>
      </c>
      <c r="C89" s="42" t="s">
        <v>177</v>
      </c>
      <c r="D89" s="42" t="s">
        <v>191</v>
      </c>
      <c r="E89" s="43">
        <v>5600</v>
      </c>
      <c r="R89" s="40"/>
      <c r="S89" s="40"/>
      <c r="V89" t="str">
        <v>2023-06</v>
      </c>
      <c r="W89" t="str">
        <v>Rachel Green</v>
      </c>
      <c r="X89" s="40">
        <v>10530</v>
      </c>
    </row>
    <row r="90" spans="1:24">
      <c r="A90" s="41">
        <v>44830</v>
      </c>
      <c r="B90" s="42" t="s">
        <v>182</v>
      </c>
      <c r="C90" s="42" t="s">
        <v>185</v>
      </c>
      <c r="D90" s="42" t="s">
        <v>195</v>
      </c>
      <c r="E90" s="43">
        <v>560</v>
      </c>
      <c r="R90" s="40"/>
      <c r="S90" s="40"/>
      <c r="V90" t="str">
        <v>2023-06</v>
      </c>
      <c r="W90" t="str">
        <v>Walter White</v>
      </c>
      <c r="X90" s="40">
        <v>12460</v>
      </c>
    </row>
    <row r="91" spans="1:24">
      <c r="A91" s="41">
        <v>44835</v>
      </c>
      <c r="B91" s="42" t="s">
        <v>188</v>
      </c>
      <c r="C91" s="42" t="s">
        <v>189</v>
      </c>
      <c r="D91" s="42" t="s">
        <v>194</v>
      </c>
      <c r="E91" s="43">
        <v>5070</v>
      </c>
      <c r="R91" s="40"/>
      <c r="S91" s="40"/>
      <c r="V91" t="str">
        <v>2023-07</v>
      </c>
      <c r="W91" t="str">
        <v>Christopher Moltisanti</v>
      </c>
      <c r="X91" s="40">
        <v>6200</v>
      </c>
    </row>
    <row r="92" spans="1:24">
      <c r="A92" s="41">
        <v>44837</v>
      </c>
      <c r="B92" s="42" t="s">
        <v>182</v>
      </c>
      <c r="C92" s="42" t="s">
        <v>183</v>
      </c>
      <c r="D92" s="42" t="s">
        <v>186</v>
      </c>
      <c r="E92" s="43">
        <v>3360</v>
      </c>
      <c r="R92" s="40"/>
      <c r="S92" s="40"/>
      <c r="V92" t="str">
        <v>2023-07</v>
      </c>
      <c r="W92" t="str">
        <v>Jesse Pinkman</v>
      </c>
      <c r="X92" s="40">
        <v>9930</v>
      </c>
    </row>
    <row r="93" spans="1:24">
      <c r="A93" s="41">
        <v>44842</v>
      </c>
      <c r="B93" s="42" t="s">
        <v>188</v>
      </c>
      <c r="C93" s="42" t="s">
        <v>192</v>
      </c>
      <c r="D93" s="42" t="s">
        <v>193</v>
      </c>
      <c r="E93" s="43">
        <v>7550</v>
      </c>
      <c r="R93" s="40"/>
      <c r="S93" s="40"/>
      <c r="V93" t="str">
        <v>2023-07</v>
      </c>
      <c r="W93" t="str">
        <v>Mike Delfino</v>
      </c>
      <c r="X93" s="40">
        <v>19660</v>
      </c>
    </row>
    <row r="94" spans="1:24">
      <c r="A94" s="41">
        <v>44842</v>
      </c>
      <c r="B94" s="42" t="s">
        <v>176</v>
      </c>
      <c r="C94" s="42" t="s">
        <v>177</v>
      </c>
      <c r="D94" s="42" t="s">
        <v>207</v>
      </c>
      <c r="E94" s="43">
        <v>1530</v>
      </c>
      <c r="R94" s="40"/>
      <c r="S94" s="40"/>
      <c r="V94" t="str">
        <v>2023-07</v>
      </c>
      <c r="W94" t="str">
        <v>Miriam Maisel</v>
      </c>
      <c r="X94" s="40">
        <v>7840</v>
      </c>
    </row>
    <row r="95" spans="1:24">
      <c r="A95" s="41">
        <v>44843</v>
      </c>
      <c r="B95" s="42" t="s">
        <v>176</v>
      </c>
      <c r="C95" s="42" t="s">
        <v>177</v>
      </c>
      <c r="D95" s="42" t="s">
        <v>207</v>
      </c>
      <c r="E95" s="43">
        <v>2600</v>
      </c>
      <c r="R95" s="40"/>
      <c r="S95" s="40"/>
      <c r="V95" t="str">
        <v>2023-07</v>
      </c>
      <c r="W95" t="str">
        <v>Walter White</v>
      </c>
      <c r="X95" s="40">
        <v>6820</v>
      </c>
    </row>
    <row r="96" spans="1:24">
      <c r="A96" s="41">
        <v>44845</v>
      </c>
      <c r="B96" s="42" t="s">
        <v>188</v>
      </c>
      <c r="C96" s="42" t="s">
        <v>189</v>
      </c>
      <c r="D96" s="42" t="s">
        <v>197</v>
      </c>
      <c r="E96" s="43">
        <v>1110</v>
      </c>
      <c r="R96" s="40"/>
      <c r="S96" s="40"/>
      <c r="V96" t="str">
        <v>2023-08</v>
      </c>
      <c r="W96" t="str">
        <v>Christopher Moltisanti</v>
      </c>
      <c r="X96" s="40">
        <v>18430</v>
      </c>
    </row>
    <row r="97" spans="1:24">
      <c r="A97" s="41">
        <v>44851</v>
      </c>
      <c r="B97" s="42" t="s">
        <v>182</v>
      </c>
      <c r="C97" s="42" t="s">
        <v>185</v>
      </c>
      <c r="D97" s="42" t="s">
        <v>186</v>
      </c>
      <c r="E97" s="43">
        <v>1890</v>
      </c>
      <c r="R97" s="40"/>
      <c r="S97" s="40"/>
      <c r="V97" t="str">
        <v>2023-08</v>
      </c>
      <c r="W97" t="str">
        <v>Jesse Pinkman</v>
      </c>
      <c r="X97" s="40">
        <v>23220</v>
      </c>
    </row>
    <row r="98" spans="1:24">
      <c r="A98" s="41">
        <v>44854</v>
      </c>
      <c r="B98" s="42" t="s">
        <v>176</v>
      </c>
      <c r="C98" s="42" t="s">
        <v>187</v>
      </c>
      <c r="D98" s="42" t="s">
        <v>208</v>
      </c>
      <c r="E98" s="43">
        <v>2500</v>
      </c>
      <c r="R98" s="40"/>
      <c r="S98" s="40"/>
      <c r="V98" t="str">
        <v>2023-08</v>
      </c>
      <c r="W98" t="str">
        <v>Mike Delfino</v>
      </c>
      <c r="X98" s="40">
        <v>4200</v>
      </c>
    </row>
    <row r="99" spans="1:24">
      <c r="A99" s="41">
        <v>44858</v>
      </c>
      <c r="B99" s="42" t="s">
        <v>188</v>
      </c>
      <c r="C99" s="42" t="s">
        <v>189</v>
      </c>
      <c r="D99" s="42" t="s">
        <v>190</v>
      </c>
      <c r="E99" s="43">
        <v>9520</v>
      </c>
      <c r="R99" s="40"/>
      <c r="S99" s="40"/>
      <c r="V99" t="str">
        <v>2023-08</v>
      </c>
      <c r="W99" t="str">
        <v>Miriam Maisel</v>
      </c>
      <c r="X99" s="40">
        <v>24040</v>
      </c>
    </row>
    <row r="100" spans="1:24">
      <c r="A100" s="41">
        <v>44861</v>
      </c>
      <c r="B100" s="42" t="s">
        <v>182</v>
      </c>
      <c r="C100" s="42" t="s">
        <v>185</v>
      </c>
      <c r="D100" s="42" t="s">
        <v>184</v>
      </c>
      <c r="E100" s="43">
        <v>7900</v>
      </c>
      <c r="R100" s="40"/>
      <c r="S100" s="40"/>
      <c r="V100" t="str">
        <v>2023-08</v>
      </c>
      <c r="W100" t="str">
        <v>Rachel Green</v>
      </c>
      <c r="X100" s="40">
        <v>17480</v>
      </c>
    </row>
    <row r="101" spans="1:24">
      <c r="A101" s="41">
        <v>44862</v>
      </c>
      <c r="B101" s="42" t="s">
        <v>188</v>
      </c>
      <c r="C101" s="42" t="s">
        <v>192</v>
      </c>
      <c r="D101" s="42" t="s">
        <v>190</v>
      </c>
      <c r="E101" s="43">
        <v>3080</v>
      </c>
      <c r="R101" s="40"/>
      <c r="S101" s="40"/>
      <c r="V101" t="str">
        <v>2023-08</v>
      </c>
      <c r="W101" t="str">
        <v>Walter White</v>
      </c>
      <c r="X101" s="40">
        <v>18830</v>
      </c>
    </row>
    <row r="102" spans="1:24">
      <c r="A102" s="41">
        <v>44863</v>
      </c>
      <c r="B102" s="42" t="s">
        <v>188</v>
      </c>
      <c r="C102" s="42" t="s">
        <v>192</v>
      </c>
      <c r="D102" s="42" t="s">
        <v>202</v>
      </c>
      <c r="E102" s="43">
        <v>770</v>
      </c>
      <c r="R102" s="40"/>
      <c r="S102" s="40"/>
      <c r="V102" t="str">
        <v>2023-09</v>
      </c>
      <c r="W102" t="str">
        <v>Christopher Moltisanti</v>
      </c>
      <c r="X102" s="40">
        <v>3200</v>
      </c>
    </row>
    <row r="103" spans="1:24">
      <c r="A103" s="41">
        <v>44867</v>
      </c>
      <c r="B103" s="42" t="s">
        <v>182</v>
      </c>
      <c r="C103" s="42" t="s">
        <v>183</v>
      </c>
      <c r="D103" s="42" t="s">
        <v>184</v>
      </c>
      <c r="E103" s="43">
        <v>6550</v>
      </c>
      <c r="R103" s="40"/>
      <c r="S103" s="40"/>
      <c r="V103" t="str">
        <v>2023-09</v>
      </c>
      <c r="W103" t="str">
        <v>Jesse Pinkman</v>
      </c>
      <c r="X103" s="40">
        <v>15290</v>
      </c>
    </row>
    <row r="104" spans="1:24">
      <c r="A104" s="41">
        <v>44871</v>
      </c>
      <c r="B104" s="42" t="s">
        <v>188</v>
      </c>
      <c r="C104" s="42" t="s">
        <v>192</v>
      </c>
      <c r="D104" s="42" t="s">
        <v>194</v>
      </c>
      <c r="E104" s="43">
        <v>7660</v>
      </c>
      <c r="V104" t="str">
        <v>2023-09</v>
      </c>
      <c r="W104" t="str">
        <v>Mike Delfino</v>
      </c>
      <c r="X104" s="40">
        <v>8970</v>
      </c>
    </row>
    <row r="105" spans="1:24">
      <c r="A105" s="41">
        <v>44877</v>
      </c>
      <c r="B105" s="42" t="s">
        <v>182</v>
      </c>
      <c r="C105" s="42" t="s">
        <v>185</v>
      </c>
      <c r="D105" s="42" t="s">
        <v>205</v>
      </c>
      <c r="E105" s="43">
        <v>630</v>
      </c>
      <c r="V105" t="str">
        <v>2023-09</v>
      </c>
      <c r="W105" t="str">
        <v>Miriam Maisel</v>
      </c>
      <c r="X105" s="40">
        <v>22830</v>
      </c>
    </row>
    <row r="106" spans="1:24">
      <c r="A106" s="41">
        <v>44877</v>
      </c>
      <c r="B106" s="42" t="s">
        <v>176</v>
      </c>
      <c r="C106" s="42" t="s">
        <v>177</v>
      </c>
      <c r="D106" s="42" t="s">
        <v>178</v>
      </c>
      <c r="E106" s="43">
        <v>3600</v>
      </c>
      <c r="V106" t="str">
        <v>2023-09</v>
      </c>
      <c r="W106" t="str">
        <v>Rachel Green</v>
      </c>
      <c r="X106" s="40">
        <v>5650</v>
      </c>
    </row>
    <row r="107" spans="1:24">
      <c r="A107" s="41">
        <v>44879</v>
      </c>
      <c r="B107" s="42" t="s">
        <v>182</v>
      </c>
      <c r="C107" s="42" t="s">
        <v>185</v>
      </c>
      <c r="D107" s="42" t="s">
        <v>205</v>
      </c>
      <c r="E107" s="43">
        <v>850</v>
      </c>
      <c r="V107" t="str">
        <v>2023-09</v>
      </c>
      <c r="W107" t="str">
        <v>Walter White</v>
      </c>
      <c r="X107" s="40">
        <v>12510</v>
      </c>
    </row>
    <row r="108" spans="1:24">
      <c r="A108" s="41">
        <v>44885</v>
      </c>
      <c r="B108" s="42" t="s">
        <v>176</v>
      </c>
      <c r="C108" s="42" t="s">
        <v>187</v>
      </c>
      <c r="D108" s="42" t="s">
        <v>200</v>
      </c>
      <c r="E108" s="43">
        <v>3920</v>
      </c>
      <c r="V108" t="str">
        <v>2023-10</v>
      </c>
      <c r="W108" t="str">
        <v>Christopher Moltisanti</v>
      </c>
      <c r="X108" s="40">
        <v>11500</v>
      </c>
    </row>
    <row r="109" spans="1:24">
      <c r="A109" s="41">
        <v>44887</v>
      </c>
      <c r="B109" s="42" t="s">
        <v>188</v>
      </c>
      <c r="C109" s="42" t="s">
        <v>189</v>
      </c>
      <c r="D109" s="42" t="s">
        <v>201</v>
      </c>
      <c r="E109" s="43">
        <v>830</v>
      </c>
      <c r="V109" t="str">
        <v>2023-10</v>
      </c>
      <c r="W109" t="str">
        <v>Jesse Pinkman</v>
      </c>
      <c r="X109" s="40">
        <v>17670</v>
      </c>
    </row>
    <row r="110" spans="1:24">
      <c r="A110" s="41">
        <v>44887</v>
      </c>
      <c r="B110" s="42" t="s">
        <v>188</v>
      </c>
      <c r="C110" s="42" t="s">
        <v>189</v>
      </c>
      <c r="D110" s="42" t="s">
        <v>202</v>
      </c>
      <c r="E110" s="43">
        <v>4530</v>
      </c>
      <c r="V110" t="str">
        <v>2023-10</v>
      </c>
      <c r="W110" t="str">
        <v>Mike Delfino</v>
      </c>
      <c r="X110" s="40">
        <v>5840</v>
      </c>
    </row>
    <row r="111" spans="1:24">
      <c r="A111" s="41">
        <v>44887</v>
      </c>
      <c r="B111" s="42" t="s">
        <v>188</v>
      </c>
      <c r="C111" s="42" t="s">
        <v>192</v>
      </c>
      <c r="D111" s="42" t="s">
        <v>193</v>
      </c>
      <c r="E111" s="43">
        <v>6820</v>
      </c>
      <c r="V111" t="str">
        <v>2023-10</v>
      </c>
      <c r="W111" t="str">
        <v>Miriam Maisel</v>
      </c>
      <c r="X111" s="40">
        <v>13510</v>
      </c>
    </row>
    <row r="112" spans="1:24">
      <c r="A112" s="41">
        <v>44893</v>
      </c>
      <c r="B112" s="42" t="s">
        <v>182</v>
      </c>
      <c r="C112" s="42" t="s">
        <v>185</v>
      </c>
      <c r="D112" s="42" t="s">
        <v>199</v>
      </c>
      <c r="E112" s="43">
        <v>6970</v>
      </c>
      <c r="V112" t="str">
        <v>2023-10</v>
      </c>
      <c r="W112" t="str">
        <v>Walter White</v>
      </c>
      <c r="X112" s="40">
        <v>16540</v>
      </c>
    </row>
    <row r="113" spans="1:24">
      <c r="A113" s="41">
        <v>44899</v>
      </c>
      <c r="B113" s="42" t="s">
        <v>188</v>
      </c>
      <c r="C113" s="42" t="s">
        <v>189</v>
      </c>
      <c r="D113" s="42" t="s">
        <v>194</v>
      </c>
      <c r="E113" s="43">
        <v>8220</v>
      </c>
      <c r="V113" t="str">
        <v>2023-11</v>
      </c>
      <c r="W113" t="str">
        <v>Christopher Moltisanti</v>
      </c>
      <c r="X113" s="40">
        <v>4200</v>
      </c>
    </row>
    <row r="114" spans="1:24">
      <c r="A114" s="41">
        <v>44904</v>
      </c>
      <c r="B114" s="42" t="s">
        <v>176</v>
      </c>
      <c r="C114" s="42" t="s">
        <v>177</v>
      </c>
      <c r="D114" s="42" t="s">
        <v>207</v>
      </c>
      <c r="E114" s="43">
        <v>2300</v>
      </c>
      <c r="V114" t="str">
        <v>2023-11</v>
      </c>
      <c r="W114" t="str">
        <v>Jesse Pinkman</v>
      </c>
      <c r="X114" s="40">
        <v>11450</v>
      </c>
    </row>
    <row r="115" spans="1:24">
      <c r="A115" s="41">
        <v>44911</v>
      </c>
      <c r="B115" s="42" t="s">
        <v>176</v>
      </c>
      <c r="C115" s="42" t="s">
        <v>177</v>
      </c>
      <c r="D115" s="42" t="s">
        <v>191</v>
      </c>
      <c r="E115" s="43">
        <v>490</v>
      </c>
      <c r="V115" t="str">
        <v>2023-11</v>
      </c>
      <c r="W115" t="str">
        <v>Mike Delfino</v>
      </c>
      <c r="X115" s="40">
        <v>6030</v>
      </c>
    </row>
    <row r="116" spans="1:24">
      <c r="A116" s="41">
        <v>44911</v>
      </c>
      <c r="B116" s="42" t="s">
        <v>176</v>
      </c>
      <c r="C116" s="42" t="s">
        <v>177</v>
      </c>
      <c r="D116" s="42" t="s">
        <v>206</v>
      </c>
      <c r="E116" s="43">
        <v>2140</v>
      </c>
      <c r="V116" t="str">
        <v>2023-11</v>
      </c>
      <c r="W116" t="str">
        <v>Miriam Maisel</v>
      </c>
      <c r="X116" s="40">
        <v>750</v>
      </c>
    </row>
    <row r="117" spans="1:24">
      <c r="A117" s="41">
        <v>44912</v>
      </c>
      <c r="B117" s="42" t="s">
        <v>176</v>
      </c>
      <c r="C117" s="42" t="s">
        <v>177</v>
      </c>
      <c r="D117" s="42" t="s">
        <v>191</v>
      </c>
      <c r="E117" s="43">
        <v>5650</v>
      </c>
      <c r="V117" t="str">
        <v>2023-11</v>
      </c>
      <c r="W117" t="str">
        <v>Rachel Green</v>
      </c>
      <c r="X117" s="40">
        <v>10990</v>
      </c>
    </row>
    <row r="118" spans="1:24">
      <c r="A118" s="41">
        <v>44920</v>
      </c>
      <c r="B118" s="42" t="s">
        <v>182</v>
      </c>
      <c r="C118" s="42" t="s">
        <v>183</v>
      </c>
      <c r="D118" s="42" t="s">
        <v>204</v>
      </c>
      <c r="E118" s="43">
        <v>2330</v>
      </c>
      <c r="V118" t="str">
        <v>2023-11</v>
      </c>
      <c r="W118" t="str">
        <v>Walter White</v>
      </c>
      <c r="X118" s="40">
        <v>2910</v>
      </c>
    </row>
    <row r="119" spans="1:24">
      <c r="A119" s="41">
        <v>44925</v>
      </c>
      <c r="B119" s="42" t="s">
        <v>182</v>
      </c>
      <c r="C119" s="42" t="s">
        <v>183</v>
      </c>
      <c r="D119" s="42" t="s">
        <v>205</v>
      </c>
      <c r="E119" s="43">
        <v>8090</v>
      </c>
      <c r="V119" t="str">
        <v>2023-12</v>
      </c>
      <c r="W119" t="str">
        <v>Christopher Moltisanti</v>
      </c>
      <c r="X119" s="40">
        <v>3380</v>
      </c>
    </row>
    <row r="120" spans="1:24">
      <c r="A120" s="50">
        <v>44928</v>
      </c>
      <c r="B120" s="51" t="s">
        <v>182</v>
      </c>
      <c r="C120" s="51" t="s">
        <v>183</v>
      </c>
      <c r="D120" s="51" t="s">
        <v>186</v>
      </c>
      <c r="E120" s="52">
        <v>7570</v>
      </c>
      <c r="V120" t="str">
        <v>2023-12</v>
      </c>
      <c r="W120" t="str">
        <v>Jesse Pinkman</v>
      </c>
      <c r="X120" s="40">
        <v>19320</v>
      </c>
    </row>
    <row r="121" spans="1:24">
      <c r="A121" s="41">
        <v>44928</v>
      </c>
      <c r="B121" s="42" t="s">
        <v>182</v>
      </c>
      <c r="C121" s="42" t="s">
        <v>183</v>
      </c>
      <c r="D121" s="42" t="s">
        <v>205</v>
      </c>
      <c r="E121" s="43">
        <v>2270</v>
      </c>
      <c r="V121" t="str">
        <v>2023-12</v>
      </c>
      <c r="W121" t="str">
        <v>Mike Delfino</v>
      </c>
      <c r="X121" s="40">
        <v>15080</v>
      </c>
    </row>
    <row r="122" spans="1:24">
      <c r="A122" s="41">
        <v>44929</v>
      </c>
      <c r="B122" s="42" t="s">
        <v>176</v>
      </c>
      <c r="C122" s="42" t="s">
        <v>177</v>
      </c>
      <c r="D122" s="42" t="s">
        <v>200</v>
      </c>
      <c r="E122" s="43">
        <v>2500</v>
      </c>
      <c r="V122" t="str">
        <v>2023-12</v>
      </c>
      <c r="W122" t="str">
        <v>Miriam Maisel</v>
      </c>
      <c r="X122" s="40">
        <v>20390</v>
      </c>
    </row>
    <row r="123" spans="1:24">
      <c r="A123" s="41">
        <v>44932</v>
      </c>
      <c r="B123" s="42" t="s">
        <v>182</v>
      </c>
      <c r="C123" s="42" t="s">
        <v>185</v>
      </c>
      <c r="D123" s="42" t="s">
        <v>186</v>
      </c>
      <c r="E123" s="43">
        <v>5410</v>
      </c>
      <c r="V123" t="str">
        <v>2023-12</v>
      </c>
      <c r="W123" t="str">
        <v>Rachel Green</v>
      </c>
      <c r="X123" s="40">
        <v>5290</v>
      </c>
    </row>
    <row r="124" spans="1:24">
      <c r="A124" s="41">
        <v>44933</v>
      </c>
      <c r="B124" s="42" t="s">
        <v>188</v>
      </c>
      <c r="C124" s="42" t="s">
        <v>189</v>
      </c>
      <c r="D124" s="42" t="s">
        <v>197</v>
      </c>
      <c r="E124" s="43">
        <v>5420</v>
      </c>
      <c r="V124" t="str">
        <v>2023-12</v>
      </c>
      <c r="W124" t="str">
        <v>Walter White</v>
      </c>
      <c r="X124" s="40">
        <v>17580</v>
      </c>
    </row>
    <row r="125" spans="1:24">
      <c r="A125" s="41">
        <v>44936</v>
      </c>
      <c r="B125" s="42" t="s">
        <v>176</v>
      </c>
      <c r="C125" s="42" t="s">
        <v>187</v>
      </c>
      <c r="D125" s="42" t="s">
        <v>200</v>
      </c>
      <c r="E125" s="43">
        <v>470</v>
      </c>
      <c r="V125" t="str">
        <v>2024-01</v>
      </c>
      <c r="W125" t="str">
        <v>Christopher Moltisanti</v>
      </c>
      <c r="X125" s="40">
        <v>12230</v>
      </c>
    </row>
    <row r="126" spans="1:24">
      <c r="A126" s="41">
        <v>44937</v>
      </c>
      <c r="B126" s="42" t="s">
        <v>176</v>
      </c>
      <c r="C126" s="42" t="s">
        <v>177</v>
      </c>
      <c r="D126" s="42" t="s">
        <v>206</v>
      </c>
      <c r="E126" s="43">
        <v>3630</v>
      </c>
      <c r="V126" t="str">
        <v>2024-01</v>
      </c>
      <c r="W126" t="str">
        <v>Jesse Pinkman</v>
      </c>
      <c r="X126" s="40">
        <v>13350</v>
      </c>
    </row>
    <row r="127" spans="1:24">
      <c r="A127" s="41">
        <v>44942</v>
      </c>
      <c r="B127" s="42" t="s">
        <v>182</v>
      </c>
      <c r="C127" s="42" t="s">
        <v>183</v>
      </c>
      <c r="D127" s="42" t="s">
        <v>186</v>
      </c>
      <c r="E127" s="43">
        <v>6970</v>
      </c>
      <c r="V127" t="str">
        <v>2024-01</v>
      </c>
      <c r="W127" t="str">
        <v>Mike Delfino</v>
      </c>
      <c r="X127" s="40">
        <v>13130</v>
      </c>
    </row>
    <row r="128" spans="1:24">
      <c r="A128" s="41">
        <v>44942</v>
      </c>
      <c r="B128" s="42" t="s">
        <v>176</v>
      </c>
      <c r="C128" s="42" t="s">
        <v>187</v>
      </c>
      <c r="D128" s="42" t="s">
        <v>206</v>
      </c>
      <c r="E128" s="43">
        <v>6970</v>
      </c>
      <c r="V128" t="str">
        <v>2024-01</v>
      </c>
      <c r="W128" t="str">
        <v>Miriam Maisel</v>
      </c>
      <c r="X128" s="40">
        <v>14180</v>
      </c>
    </row>
    <row r="129" spans="1:24">
      <c r="A129" s="41">
        <v>44946</v>
      </c>
      <c r="B129" s="42" t="s">
        <v>188</v>
      </c>
      <c r="C129" s="42" t="s">
        <v>189</v>
      </c>
      <c r="D129" s="42" t="s">
        <v>201</v>
      </c>
      <c r="E129" s="43">
        <v>2170</v>
      </c>
      <c r="V129" t="str">
        <v>2024-01</v>
      </c>
      <c r="W129" t="str">
        <v>Rachel Green</v>
      </c>
      <c r="X129" s="40">
        <v>16180</v>
      </c>
    </row>
    <row r="130" spans="1:24">
      <c r="A130" s="41">
        <v>44949</v>
      </c>
      <c r="B130" s="42" t="s">
        <v>182</v>
      </c>
      <c r="C130" s="42" t="s">
        <v>185</v>
      </c>
      <c r="D130" s="42" t="s">
        <v>195</v>
      </c>
      <c r="E130" s="43">
        <v>8310</v>
      </c>
      <c r="V130" t="str">
        <v>2024-01</v>
      </c>
      <c r="W130" t="str">
        <v>Walter White</v>
      </c>
      <c r="X130" s="40">
        <v>11150</v>
      </c>
    </row>
    <row r="131" spans="1:24">
      <c r="A131" s="41">
        <v>44949</v>
      </c>
      <c r="B131" s="42" t="s">
        <v>188</v>
      </c>
      <c r="C131" s="42" t="s">
        <v>189</v>
      </c>
      <c r="D131" s="42" t="s">
        <v>193</v>
      </c>
      <c r="E131" s="43">
        <v>9790</v>
      </c>
      <c r="V131" t="str">
        <v>2024-02</v>
      </c>
      <c r="W131" t="str">
        <v>Christopher Moltisanti</v>
      </c>
      <c r="X131" s="40">
        <v>16430</v>
      </c>
    </row>
    <row r="132" spans="1:24">
      <c r="A132" s="41">
        <v>44949</v>
      </c>
      <c r="B132" s="42" t="s">
        <v>182</v>
      </c>
      <c r="C132" s="42" t="s">
        <v>185</v>
      </c>
      <c r="D132" s="42" t="s">
        <v>184</v>
      </c>
      <c r="E132" s="43">
        <v>9160</v>
      </c>
      <c r="V132" t="str">
        <v>2024-02</v>
      </c>
      <c r="W132" t="str">
        <v>Jesse Pinkman</v>
      </c>
      <c r="X132" s="40">
        <v>21110</v>
      </c>
    </row>
    <row r="133" spans="1:24">
      <c r="A133" s="41">
        <v>44951</v>
      </c>
      <c r="B133" s="42" t="s">
        <v>176</v>
      </c>
      <c r="C133" s="42" t="s">
        <v>187</v>
      </c>
      <c r="D133" s="42" t="s">
        <v>208</v>
      </c>
      <c r="E133" s="43">
        <v>7380</v>
      </c>
      <c r="V133" t="str">
        <v>2024-02</v>
      </c>
      <c r="W133" t="str">
        <v>Mike Delfino</v>
      </c>
      <c r="X133" s="40">
        <v>3470</v>
      </c>
    </row>
    <row r="134" spans="1:24">
      <c r="A134" s="41">
        <v>44954</v>
      </c>
      <c r="B134" s="42" t="s">
        <v>182</v>
      </c>
      <c r="C134" s="42" t="s">
        <v>185</v>
      </c>
      <c r="D134" s="42" t="s">
        <v>204</v>
      </c>
      <c r="E134" s="43">
        <v>6470</v>
      </c>
      <c r="V134" t="str">
        <v>2024-02</v>
      </c>
      <c r="W134" t="str">
        <v>Miriam Maisel</v>
      </c>
      <c r="X134" s="40">
        <v>7690</v>
      </c>
    </row>
    <row r="135" spans="1:24">
      <c r="A135" s="41">
        <v>44954</v>
      </c>
      <c r="B135" s="42" t="s">
        <v>182</v>
      </c>
      <c r="C135" s="42" t="s">
        <v>185</v>
      </c>
      <c r="D135" s="42" t="s">
        <v>186</v>
      </c>
      <c r="E135" s="43">
        <v>370</v>
      </c>
      <c r="V135" t="str">
        <v>2024-02</v>
      </c>
      <c r="W135" t="str">
        <v>Rachel Green</v>
      </c>
      <c r="X135" s="40">
        <v>25280</v>
      </c>
    </row>
    <row r="136" spans="1:24">
      <c r="A136" s="41">
        <v>44955</v>
      </c>
      <c r="B136" s="42" t="s">
        <v>182</v>
      </c>
      <c r="C136" s="42" t="s">
        <v>185</v>
      </c>
      <c r="D136" s="42" t="s">
        <v>184</v>
      </c>
      <c r="E136" s="43">
        <v>7750</v>
      </c>
      <c r="V136" t="str">
        <v>2024-02</v>
      </c>
      <c r="W136" t="str">
        <v>Walter White</v>
      </c>
      <c r="X136" s="40">
        <v>13420</v>
      </c>
    </row>
    <row r="137" spans="1:24">
      <c r="A137" s="41">
        <v>44958</v>
      </c>
      <c r="B137" s="42" t="s">
        <v>176</v>
      </c>
      <c r="C137" s="42" t="s">
        <v>177</v>
      </c>
      <c r="D137" s="42" t="s">
        <v>206</v>
      </c>
      <c r="E137" s="43">
        <v>6200</v>
      </c>
      <c r="V137" s="14" t="str">
        <v>Total</v>
      </c>
      <c r="W137" s="14" t="str">
        <v/>
      </c>
      <c r="X137" s="54">
        <v>1449850</v>
      </c>
    </row>
    <row r="138" spans="1:24">
      <c r="A138" s="41">
        <v>44960</v>
      </c>
      <c r="B138" s="42" t="s">
        <v>176</v>
      </c>
      <c r="C138" s="42" t="s">
        <v>187</v>
      </c>
      <c r="D138" s="42" t="s">
        <v>206</v>
      </c>
      <c r="E138" s="43">
        <v>460</v>
      </c>
    </row>
    <row r="139" spans="1:24">
      <c r="A139" s="41">
        <v>44964</v>
      </c>
      <c r="B139" s="42" t="s">
        <v>182</v>
      </c>
      <c r="C139" s="42" t="s">
        <v>183</v>
      </c>
      <c r="D139" s="42" t="s">
        <v>184</v>
      </c>
      <c r="E139" s="43">
        <v>4360</v>
      </c>
    </row>
    <row r="140" spans="1:24">
      <c r="A140" s="41">
        <v>44968</v>
      </c>
      <c r="B140" s="42" t="s">
        <v>182</v>
      </c>
      <c r="C140" s="42" t="s">
        <v>185</v>
      </c>
      <c r="D140" s="42" t="s">
        <v>199</v>
      </c>
      <c r="E140" s="43">
        <v>2630</v>
      </c>
    </row>
    <row r="141" spans="1:24">
      <c r="A141" s="41">
        <v>44970</v>
      </c>
      <c r="B141" s="42" t="s">
        <v>188</v>
      </c>
      <c r="C141" s="42" t="s">
        <v>192</v>
      </c>
      <c r="D141" s="42" t="s">
        <v>201</v>
      </c>
      <c r="E141" s="43">
        <v>5490</v>
      </c>
    </row>
    <row r="142" spans="1:24">
      <c r="A142" s="41">
        <v>44977</v>
      </c>
      <c r="B142" s="42" t="s">
        <v>188</v>
      </c>
      <c r="C142" s="42" t="s">
        <v>192</v>
      </c>
      <c r="D142" s="42" t="s">
        <v>193</v>
      </c>
      <c r="E142" s="43">
        <v>490</v>
      </c>
    </row>
    <row r="143" spans="1:24">
      <c r="A143" s="41">
        <v>44981</v>
      </c>
      <c r="B143" s="42" t="s">
        <v>176</v>
      </c>
      <c r="C143" s="42" t="s">
        <v>177</v>
      </c>
      <c r="D143" s="42" t="s">
        <v>200</v>
      </c>
      <c r="E143" s="43">
        <v>3500</v>
      </c>
    </row>
    <row r="144" spans="1:24">
      <c r="A144" s="41">
        <v>44985</v>
      </c>
      <c r="B144" s="42" t="s">
        <v>182</v>
      </c>
      <c r="C144" s="42" t="s">
        <v>185</v>
      </c>
      <c r="D144" s="42" t="s">
        <v>195</v>
      </c>
      <c r="E144" s="43">
        <v>680</v>
      </c>
    </row>
    <row r="145" spans="1:5">
      <c r="A145" s="41">
        <v>44991</v>
      </c>
      <c r="B145" s="42" t="s">
        <v>182</v>
      </c>
      <c r="C145" s="42" t="s">
        <v>185</v>
      </c>
      <c r="D145" s="42" t="s">
        <v>199</v>
      </c>
      <c r="E145" s="43">
        <v>2170</v>
      </c>
    </row>
    <row r="146" spans="1:5">
      <c r="A146" s="41">
        <v>44994</v>
      </c>
      <c r="B146" s="42" t="s">
        <v>176</v>
      </c>
      <c r="C146" s="42" t="s">
        <v>177</v>
      </c>
      <c r="D146" s="42" t="s">
        <v>207</v>
      </c>
      <c r="E146" s="43">
        <v>3520</v>
      </c>
    </row>
    <row r="147" spans="1:5">
      <c r="A147" s="41">
        <v>44994</v>
      </c>
      <c r="B147" s="42" t="s">
        <v>176</v>
      </c>
      <c r="C147" s="42" t="s">
        <v>177</v>
      </c>
      <c r="D147" s="42" t="s">
        <v>200</v>
      </c>
      <c r="E147" s="43">
        <v>3330</v>
      </c>
    </row>
    <row r="148" spans="1:5">
      <c r="A148" s="41">
        <v>44995</v>
      </c>
      <c r="B148" s="42" t="s">
        <v>182</v>
      </c>
      <c r="C148" s="42" t="s">
        <v>185</v>
      </c>
      <c r="D148" s="42" t="s">
        <v>184</v>
      </c>
      <c r="E148" s="43">
        <v>3180</v>
      </c>
    </row>
    <row r="149" spans="1:5">
      <c r="A149" s="41">
        <v>44998</v>
      </c>
      <c r="B149" s="42" t="s">
        <v>182</v>
      </c>
      <c r="C149" s="42" t="s">
        <v>183</v>
      </c>
      <c r="D149" s="42" t="s">
        <v>184</v>
      </c>
      <c r="E149" s="43">
        <v>9000</v>
      </c>
    </row>
    <row r="150" spans="1:5">
      <c r="A150" s="41">
        <v>45003</v>
      </c>
      <c r="B150" s="42" t="s">
        <v>182</v>
      </c>
      <c r="C150" s="42" t="s">
        <v>183</v>
      </c>
      <c r="D150" s="42" t="s">
        <v>199</v>
      </c>
      <c r="E150" s="43">
        <v>5610</v>
      </c>
    </row>
    <row r="151" spans="1:5">
      <c r="A151" s="41">
        <v>45014</v>
      </c>
      <c r="B151" s="42" t="s">
        <v>188</v>
      </c>
      <c r="C151" s="42" t="s">
        <v>192</v>
      </c>
      <c r="D151" s="42" t="s">
        <v>193</v>
      </c>
      <c r="E151" s="43">
        <v>4060</v>
      </c>
    </row>
    <row r="152" spans="1:5">
      <c r="A152" s="41">
        <v>45015</v>
      </c>
      <c r="B152" s="42" t="s">
        <v>176</v>
      </c>
      <c r="C152" s="42" t="s">
        <v>177</v>
      </c>
      <c r="D152" s="42" t="s">
        <v>207</v>
      </c>
      <c r="E152" s="43">
        <v>6670</v>
      </c>
    </row>
    <row r="153" spans="1:5">
      <c r="A153" s="41">
        <v>45015</v>
      </c>
      <c r="B153" s="42" t="s">
        <v>176</v>
      </c>
      <c r="C153" s="42" t="s">
        <v>177</v>
      </c>
      <c r="D153" s="42" t="s">
        <v>207</v>
      </c>
      <c r="E153" s="43">
        <v>2770</v>
      </c>
    </row>
    <row r="154" spans="1:5">
      <c r="A154" s="41">
        <v>45017</v>
      </c>
      <c r="B154" s="42" t="s">
        <v>188</v>
      </c>
      <c r="C154" s="42" t="s">
        <v>189</v>
      </c>
      <c r="D154" s="42" t="s">
        <v>194</v>
      </c>
      <c r="E154" s="43">
        <v>3520</v>
      </c>
    </row>
    <row r="155" spans="1:5">
      <c r="A155" s="41">
        <v>45017</v>
      </c>
      <c r="B155" s="42" t="s">
        <v>182</v>
      </c>
      <c r="C155" s="42" t="s">
        <v>185</v>
      </c>
      <c r="D155" s="42" t="s">
        <v>186</v>
      </c>
      <c r="E155" s="43">
        <v>7650</v>
      </c>
    </row>
    <row r="156" spans="1:5">
      <c r="A156" s="41">
        <v>45018</v>
      </c>
      <c r="B156" s="42" t="s">
        <v>176</v>
      </c>
      <c r="C156" s="42" t="s">
        <v>187</v>
      </c>
      <c r="D156" s="42" t="s">
        <v>178</v>
      </c>
      <c r="E156" s="43">
        <v>3200</v>
      </c>
    </row>
    <row r="157" spans="1:5">
      <c r="A157" s="41">
        <v>45020</v>
      </c>
      <c r="B157" s="42" t="s">
        <v>176</v>
      </c>
      <c r="C157" s="42" t="s">
        <v>187</v>
      </c>
      <c r="D157" s="42" t="s">
        <v>191</v>
      </c>
      <c r="E157" s="43">
        <v>870</v>
      </c>
    </row>
    <row r="158" spans="1:5">
      <c r="A158" s="41">
        <v>45022</v>
      </c>
      <c r="B158" s="42" t="s">
        <v>176</v>
      </c>
      <c r="C158" s="42" t="s">
        <v>177</v>
      </c>
      <c r="D158" s="42" t="s">
        <v>178</v>
      </c>
      <c r="E158" s="43">
        <v>2500</v>
      </c>
    </row>
    <row r="159" spans="1:5">
      <c r="A159" s="41">
        <v>45025</v>
      </c>
      <c r="B159" s="42" t="s">
        <v>176</v>
      </c>
      <c r="C159" s="42" t="s">
        <v>177</v>
      </c>
      <c r="D159" s="42" t="s">
        <v>207</v>
      </c>
      <c r="E159" s="43">
        <v>4330</v>
      </c>
    </row>
    <row r="160" spans="1:5">
      <c r="A160" s="41">
        <v>45026</v>
      </c>
      <c r="B160" s="42" t="s">
        <v>188</v>
      </c>
      <c r="C160" s="42" t="s">
        <v>189</v>
      </c>
      <c r="D160" s="42" t="s">
        <v>197</v>
      </c>
      <c r="E160" s="43">
        <v>3460</v>
      </c>
    </row>
    <row r="161" spans="1:5">
      <c r="A161" s="41">
        <v>45026</v>
      </c>
      <c r="B161" s="42" t="s">
        <v>182</v>
      </c>
      <c r="C161" s="42" t="s">
        <v>185</v>
      </c>
      <c r="D161" s="42" t="s">
        <v>184</v>
      </c>
      <c r="E161" s="43">
        <v>5490</v>
      </c>
    </row>
    <row r="162" spans="1:5">
      <c r="A162" s="41">
        <v>45036</v>
      </c>
      <c r="B162" s="42" t="s">
        <v>188</v>
      </c>
      <c r="C162" s="42" t="s">
        <v>189</v>
      </c>
      <c r="D162" s="42" t="s">
        <v>202</v>
      </c>
      <c r="E162" s="43">
        <v>8950</v>
      </c>
    </row>
    <row r="163" spans="1:5">
      <c r="A163" s="41">
        <v>45037</v>
      </c>
      <c r="B163" s="42" t="s">
        <v>182</v>
      </c>
      <c r="C163" s="42" t="s">
        <v>183</v>
      </c>
      <c r="D163" s="42" t="s">
        <v>184</v>
      </c>
      <c r="E163" s="43">
        <v>2900</v>
      </c>
    </row>
    <row r="164" spans="1:5">
      <c r="A164" s="41">
        <v>45038</v>
      </c>
      <c r="B164" s="42" t="s">
        <v>176</v>
      </c>
      <c r="C164" s="42" t="s">
        <v>187</v>
      </c>
      <c r="D164" s="42" t="s">
        <v>206</v>
      </c>
      <c r="E164" s="43">
        <v>6000</v>
      </c>
    </row>
    <row r="165" spans="1:5">
      <c r="A165" s="41">
        <v>45041</v>
      </c>
      <c r="B165" s="42" t="s">
        <v>188</v>
      </c>
      <c r="C165" s="42" t="s">
        <v>189</v>
      </c>
      <c r="D165" s="42" t="s">
        <v>193</v>
      </c>
      <c r="E165" s="43">
        <v>440</v>
      </c>
    </row>
    <row r="166" spans="1:5">
      <c r="A166" s="41">
        <v>45045</v>
      </c>
      <c r="B166" s="42" t="s">
        <v>182</v>
      </c>
      <c r="C166" s="42" t="s">
        <v>185</v>
      </c>
      <c r="D166" s="42" t="s">
        <v>195</v>
      </c>
      <c r="E166" s="43">
        <v>4360</v>
      </c>
    </row>
    <row r="167" spans="1:5">
      <c r="A167" s="41">
        <v>45046</v>
      </c>
      <c r="B167" s="42" t="s">
        <v>176</v>
      </c>
      <c r="C167" s="42" t="s">
        <v>187</v>
      </c>
      <c r="D167" s="42" t="s">
        <v>191</v>
      </c>
      <c r="E167" s="43">
        <v>5620</v>
      </c>
    </row>
    <row r="168" spans="1:5">
      <c r="A168" s="41">
        <v>45047</v>
      </c>
      <c r="B168" s="42" t="s">
        <v>182</v>
      </c>
      <c r="C168" s="42" t="s">
        <v>183</v>
      </c>
      <c r="D168" s="42" t="s">
        <v>205</v>
      </c>
      <c r="E168" s="43">
        <v>5090</v>
      </c>
    </row>
    <row r="169" spans="1:5">
      <c r="A169" s="41">
        <v>45048</v>
      </c>
      <c r="B169" s="42" t="s">
        <v>182</v>
      </c>
      <c r="C169" s="42" t="s">
        <v>185</v>
      </c>
      <c r="D169" s="42" t="s">
        <v>204</v>
      </c>
      <c r="E169" s="43">
        <v>5280</v>
      </c>
    </row>
    <row r="170" spans="1:5">
      <c r="A170" s="41">
        <v>45048</v>
      </c>
      <c r="B170" s="42" t="s">
        <v>176</v>
      </c>
      <c r="C170" s="42" t="s">
        <v>187</v>
      </c>
      <c r="D170" s="42" t="s">
        <v>207</v>
      </c>
      <c r="E170" s="43">
        <v>3680</v>
      </c>
    </row>
    <row r="171" spans="1:5">
      <c r="A171" s="41">
        <v>45048</v>
      </c>
      <c r="B171" s="42" t="s">
        <v>182</v>
      </c>
      <c r="C171" s="42" t="s">
        <v>185</v>
      </c>
      <c r="D171" s="42" t="s">
        <v>195</v>
      </c>
      <c r="E171" s="43">
        <v>1460</v>
      </c>
    </row>
    <row r="172" spans="1:5">
      <c r="A172" s="41">
        <v>45048</v>
      </c>
      <c r="B172" s="42" t="s">
        <v>176</v>
      </c>
      <c r="C172" s="42" t="s">
        <v>187</v>
      </c>
      <c r="D172" s="42" t="s">
        <v>208</v>
      </c>
      <c r="E172" s="43">
        <v>5200</v>
      </c>
    </row>
    <row r="173" spans="1:5">
      <c r="A173" s="41">
        <v>45052</v>
      </c>
      <c r="B173" s="42" t="s">
        <v>176</v>
      </c>
      <c r="C173" s="42" t="s">
        <v>187</v>
      </c>
      <c r="D173" s="42" t="s">
        <v>178</v>
      </c>
      <c r="E173" s="43">
        <v>3200</v>
      </c>
    </row>
    <row r="174" spans="1:5">
      <c r="A174" s="41">
        <v>45061</v>
      </c>
      <c r="B174" s="42" t="s">
        <v>176</v>
      </c>
      <c r="C174" s="42" t="s">
        <v>177</v>
      </c>
      <c r="D174" s="42" t="s">
        <v>191</v>
      </c>
      <c r="E174" s="43">
        <v>4450</v>
      </c>
    </row>
    <row r="175" spans="1:5">
      <c r="A175" s="41">
        <v>45063</v>
      </c>
      <c r="B175" s="42" t="s">
        <v>182</v>
      </c>
      <c r="C175" s="42" t="s">
        <v>185</v>
      </c>
      <c r="D175" s="42" t="s">
        <v>199</v>
      </c>
      <c r="E175" s="43">
        <v>7580</v>
      </c>
    </row>
    <row r="176" spans="1:5">
      <c r="A176" s="41">
        <v>45063</v>
      </c>
      <c r="B176" s="42" t="s">
        <v>176</v>
      </c>
      <c r="C176" s="42" t="s">
        <v>177</v>
      </c>
      <c r="D176" s="42" t="s">
        <v>191</v>
      </c>
      <c r="E176" s="43">
        <v>4340</v>
      </c>
    </row>
    <row r="177" spans="1:5">
      <c r="A177" s="41">
        <v>45073</v>
      </c>
      <c r="B177" s="42" t="s">
        <v>176</v>
      </c>
      <c r="C177" s="42" t="s">
        <v>187</v>
      </c>
      <c r="D177" s="42" t="s">
        <v>178</v>
      </c>
      <c r="E177" s="43">
        <v>6730</v>
      </c>
    </row>
    <row r="178" spans="1:5">
      <c r="A178" s="41">
        <v>45076</v>
      </c>
      <c r="B178" s="42" t="s">
        <v>182</v>
      </c>
      <c r="C178" s="42" t="s">
        <v>183</v>
      </c>
      <c r="D178" s="42" t="s">
        <v>204</v>
      </c>
      <c r="E178" s="43">
        <v>9650</v>
      </c>
    </row>
    <row r="179" spans="1:5">
      <c r="A179" s="41">
        <v>45078</v>
      </c>
      <c r="B179" s="42" t="s">
        <v>188</v>
      </c>
      <c r="C179" s="42" t="s">
        <v>192</v>
      </c>
      <c r="D179" s="42" t="s">
        <v>193</v>
      </c>
      <c r="E179" s="43">
        <v>3200</v>
      </c>
    </row>
    <row r="180" spans="1:5">
      <c r="A180" s="41">
        <v>45078</v>
      </c>
      <c r="B180" s="42" t="s">
        <v>176</v>
      </c>
      <c r="C180" s="42" t="s">
        <v>187</v>
      </c>
      <c r="D180" s="42" t="s">
        <v>207</v>
      </c>
      <c r="E180" s="43">
        <v>2270</v>
      </c>
    </row>
    <row r="181" spans="1:5">
      <c r="A181" s="41">
        <v>45079</v>
      </c>
      <c r="B181" s="42" t="s">
        <v>182</v>
      </c>
      <c r="C181" s="42" t="s">
        <v>185</v>
      </c>
      <c r="D181" s="42" t="s">
        <v>205</v>
      </c>
      <c r="E181" s="43">
        <v>990</v>
      </c>
    </row>
    <row r="182" spans="1:5">
      <c r="A182" s="41">
        <v>45082</v>
      </c>
      <c r="B182" s="42" t="s">
        <v>188</v>
      </c>
      <c r="C182" s="42" t="s">
        <v>189</v>
      </c>
      <c r="D182" s="42" t="s">
        <v>190</v>
      </c>
      <c r="E182" s="43">
        <v>3080</v>
      </c>
    </row>
    <row r="183" spans="1:5">
      <c r="A183" s="41">
        <v>45087</v>
      </c>
      <c r="B183" s="42" t="s">
        <v>188</v>
      </c>
      <c r="C183" s="42" t="s">
        <v>189</v>
      </c>
      <c r="D183" s="42" t="s">
        <v>193</v>
      </c>
      <c r="E183" s="43">
        <v>830</v>
      </c>
    </row>
    <row r="184" spans="1:5">
      <c r="A184" s="41">
        <v>45087</v>
      </c>
      <c r="B184" s="42" t="s">
        <v>188</v>
      </c>
      <c r="C184" s="42" t="s">
        <v>189</v>
      </c>
      <c r="D184" s="42" t="s">
        <v>201</v>
      </c>
      <c r="E184" s="43">
        <v>3470</v>
      </c>
    </row>
    <row r="185" spans="1:5">
      <c r="A185" s="41">
        <v>45088</v>
      </c>
      <c r="B185" s="42" t="s">
        <v>188</v>
      </c>
      <c r="C185" s="42" t="s">
        <v>192</v>
      </c>
      <c r="D185" s="42" t="s">
        <v>202</v>
      </c>
      <c r="E185" s="43">
        <v>9260</v>
      </c>
    </row>
    <row r="186" spans="1:5">
      <c r="A186" s="41">
        <v>45089</v>
      </c>
      <c r="B186" s="42" t="s">
        <v>188</v>
      </c>
      <c r="C186" s="42" t="s">
        <v>189</v>
      </c>
      <c r="D186" s="42" t="s">
        <v>197</v>
      </c>
      <c r="E186" s="43">
        <v>7980</v>
      </c>
    </row>
    <row r="187" spans="1:5">
      <c r="A187" s="41">
        <v>45089</v>
      </c>
      <c r="B187" s="42" t="s">
        <v>188</v>
      </c>
      <c r="C187" s="42" t="s">
        <v>189</v>
      </c>
      <c r="D187" s="42" t="s">
        <v>193</v>
      </c>
      <c r="E187" s="43">
        <v>5780</v>
      </c>
    </row>
    <row r="188" spans="1:5">
      <c r="A188" s="41">
        <v>45090</v>
      </c>
      <c r="B188" s="42" t="s">
        <v>188</v>
      </c>
      <c r="C188" s="42" t="s">
        <v>189</v>
      </c>
      <c r="D188" s="42" t="s">
        <v>194</v>
      </c>
      <c r="E188" s="43">
        <v>2690</v>
      </c>
    </row>
    <row r="189" spans="1:5">
      <c r="A189" s="41">
        <v>45090</v>
      </c>
      <c r="B189" s="42" t="s">
        <v>182</v>
      </c>
      <c r="C189" s="42" t="s">
        <v>183</v>
      </c>
      <c r="D189" s="42" t="s">
        <v>205</v>
      </c>
      <c r="E189" s="43">
        <v>7460</v>
      </c>
    </row>
    <row r="190" spans="1:5">
      <c r="A190" s="41">
        <v>45093</v>
      </c>
      <c r="B190" s="42" t="s">
        <v>182</v>
      </c>
      <c r="C190" s="42" t="s">
        <v>185</v>
      </c>
      <c r="D190" s="42" t="s">
        <v>195</v>
      </c>
      <c r="E190" s="43">
        <v>6780</v>
      </c>
    </row>
    <row r="191" spans="1:5">
      <c r="A191" s="41">
        <v>45094</v>
      </c>
      <c r="B191" s="42" t="s">
        <v>182</v>
      </c>
      <c r="C191" s="42" t="s">
        <v>185</v>
      </c>
      <c r="D191" s="42" t="s">
        <v>205</v>
      </c>
      <c r="E191" s="43">
        <v>2760</v>
      </c>
    </row>
    <row r="192" spans="1:5">
      <c r="A192" s="41">
        <v>45095</v>
      </c>
      <c r="B192" s="42" t="s">
        <v>182</v>
      </c>
      <c r="C192" s="42" t="s">
        <v>183</v>
      </c>
      <c r="D192" s="42" t="s">
        <v>186</v>
      </c>
      <c r="E192" s="43">
        <v>8880</v>
      </c>
    </row>
    <row r="193" spans="1:5">
      <c r="A193" s="41">
        <v>45104</v>
      </c>
      <c r="B193" s="42" t="s">
        <v>188</v>
      </c>
      <c r="C193" s="42" t="s">
        <v>189</v>
      </c>
      <c r="D193" s="42" t="s">
        <v>194</v>
      </c>
      <c r="E193" s="43">
        <v>8860</v>
      </c>
    </row>
    <row r="194" spans="1:5">
      <c r="A194" s="50">
        <v>45113</v>
      </c>
      <c r="B194" s="51" t="s">
        <v>182</v>
      </c>
      <c r="C194" s="51" t="s">
        <v>183</v>
      </c>
      <c r="D194" s="51" t="s">
        <v>205</v>
      </c>
      <c r="E194" s="52">
        <v>170</v>
      </c>
    </row>
    <row r="195" spans="1:5">
      <c r="A195" s="41">
        <v>45118</v>
      </c>
      <c r="B195" s="42" t="s">
        <v>188</v>
      </c>
      <c r="C195" s="42" t="s">
        <v>192</v>
      </c>
      <c r="D195" s="42" t="s">
        <v>194</v>
      </c>
      <c r="E195" s="43">
        <v>6820</v>
      </c>
    </row>
    <row r="196" spans="1:5">
      <c r="A196" s="41">
        <v>45120</v>
      </c>
      <c r="B196" s="42" t="s">
        <v>182</v>
      </c>
      <c r="C196" s="42" t="s">
        <v>183</v>
      </c>
      <c r="D196" s="42" t="s">
        <v>186</v>
      </c>
      <c r="E196" s="43">
        <v>5650</v>
      </c>
    </row>
    <row r="197" spans="1:5">
      <c r="A197" s="41">
        <v>45125</v>
      </c>
      <c r="B197" s="42" t="s">
        <v>176</v>
      </c>
      <c r="C197" s="42" t="s">
        <v>187</v>
      </c>
      <c r="D197" s="42" t="s">
        <v>178</v>
      </c>
      <c r="E197" s="43">
        <v>6820</v>
      </c>
    </row>
    <row r="198" spans="1:5">
      <c r="A198" s="41">
        <v>45129</v>
      </c>
      <c r="B198" s="42" t="s">
        <v>188</v>
      </c>
      <c r="C198" s="42" t="s">
        <v>189</v>
      </c>
      <c r="D198" s="42" t="s">
        <v>194</v>
      </c>
      <c r="E198" s="43">
        <v>3090</v>
      </c>
    </row>
    <row r="199" spans="1:5">
      <c r="A199" s="41">
        <v>45132</v>
      </c>
      <c r="B199" s="42" t="s">
        <v>182</v>
      </c>
      <c r="C199" s="42" t="s">
        <v>183</v>
      </c>
      <c r="D199" s="42" t="s">
        <v>186</v>
      </c>
      <c r="E199" s="43">
        <v>2020</v>
      </c>
    </row>
    <row r="200" spans="1:5">
      <c r="A200" s="41">
        <v>45133</v>
      </c>
      <c r="B200" s="42" t="s">
        <v>188</v>
      </c>
      <c r="C200" s="42" t="s">
        <v>189</v>
      </c>
      <c r="D200" s="42" t="s">
        <v>201</v>
      </c>
      <c r="E200" s="43">
        <v>6840</v>
      </c>
    </row>
    <row r="201" spans="1:5">
      <c r="A201" s="41">
        <v>45134</v>
      </c>
      <c r="B201" s="42" t="s">
        <v>176</v>
      </c>
      <c r="C201" s="42" t="s">
        <v>177</v>
      </c>
      <c r="D201" s="42" t="s">
        <v>191</v>
      </c>
      <c r="E201" s="43">
        <v>6200</v>
      </c>
    </row>
    <row r="202" spans="1:5">
      <c r="A202" s="41">
        <v>45135</v>
      </c>
      <c r="B202" s="42" t="s">
        <v>176</v>
      </c>
      <c r="C202" s="42" t="s">
        <v>187</v>
      </c>
      <c r="D202" s="42" t="s">
        <v>191</v>
      </c>
      <c r="E202" s="43">
        <v>5620</v>
      </c>
    </row>
    <row r="203" spans="1:5">
      <c r="A203" s="41">
        <v>45137</v>
      </c>
      <c r="B203" s="42" t="s">
        <v>176</v>
      </c>
      <c r="C203" s="42" t="s">
        <v>187</v>
      </c>
      <c r="D203" s="42" t="s">
        <v>208</v>
      </c>
      <c r="E203" s="43">
        <v>7220</v>
      </c>
    </row>
    <row r="204" spans="1:5">
      <c r="A204" s="41">
        <v>45140</v>
      </c>
      <c r="B204" s="42" t="s">
        <v>188</v>
      </c>
      <c r="C204" s="42" t="s">
        <v>189</v>
      </c>
      <c r="D204" s="42" t="s">
        <v>202</v>
      </c>
      <c r="E204" s="43">
        <v>4080</v>
      </c>
    </row>
    <row r="205" spans="1:5">
      <c r="A205" s="41">
        <v>45142</v>
      </c>
      <c r="B205" s="42" t="s">
        <v>176</v>
      </c>
      <c r="C205" s="42" t="s">
        <v>187</v>
      </c>
      <c r="D205" s="42" t="s">
        <v>206</v>
      </c>
      <c r="E205" s="43">
        <v>4200</v>
      </c>
    </row>
    <row r="206" spans="1:5">
      <c r="A206" s="41">
        <v>45143</v>
      </c>
      <c r="B206" s="42" t="s">
        <v>182</v>
      </c>
      <c r="C206" s="42" t="s">
        <v>185</v>
      </c>
      <c r="D206" s="42" t="s">
        <v>184</v>
      </c>
      <c r="E206" s="43">
        <v>8180</v>
      </c>
    </row>
    <row r="207" spans="1:5">
      <c r="A207" s="41">
        <v>45143</v>
      </c>
      <c r="B207" s="42" t="s">
        <v>176</v>
      </c>
      <c r="C207" s="42" t="s">
        <v>177</v>
      </c>
      <c r="D207" s="42" t="s">
        <v>207</v>
      </c>
      <c r="E207" s="43">
        <v>2650</v>
      </c>
    </row>
    <row r="208" spans="1:5">
      <c r="A208" s="41">
        <v>45150</v>
      </c>
      <c r="B208" s="42" t="s">
        <v>182</v>
      </c>
      <c r="C208" s="42" t="s">
        <v>183</v>
      </c>
      <c r="D208" s="42" t="s">
        <v>186</v>
      </c>
      <c r="E208" s="43">
        <v>8460</v>
      </c>
    </row>
    <row r="209" spans="1:5">
      <c r="A209" s="41">
        <v>45151</v>
      </c>
      <c r="B209" s="42" t="s">
        <v>176</v>
      </c>
      <c r="C209" s="42" t="s">
        <v>177</v>
      </c>
      <c r="D209" s="42" t="s">
        <v>191</v>
      </c>
      <c r="E209" s="43">
        <v>4940</v>
      </c>
    </row>
    <row r="210" spans="1:5">
      <c r="A210" s="41">
        <v>45154</v>
      </c>
      <c r="B210" s="42" t="s">
        <v>188</v>
      </c>
      <c r="C210" s="42" t="s">
        <v>192</v>
      </c>
      <c r="D210" s="42" t="s">
        <v>201</v>
      </c>
      <c r="E210" s="43">
        <v>9080</v>
      </c>
    </row>
    <row r="211" spans="1:5">
      <c r="A211" s="41">
        <v>45154</v>
      </c>
      <c r="B211" s="42" t="s">
        <v>182</v>
      </c>
      <c r="C211" s="42" t="s">
        <v>183</v>
      </c>
      <c r="D211" s="42" t="s">
        <v>186</v>
      </c>
      <c r="E211" s="43">
        <v>5900</v>
      </c>
    </row>
    <row r="212" spans="1:5">
      <c r="A212" s="41">
        <v>45156</v>
      </c>
      <c r="B212" s="42" t="s">
        <v>176</v>
      </c>
      <c r="C212" s="42" t="s">
        <v>177</v>
      </c>
      <c r="D212" s="42" t="s">
        <v>207</v>
      </c>
      <c r="E212" s="43">
        <v>5200</v>
      </c>
    </row>
    <row r="213" spans="1:5">
      <c r="A213" s="41">
        <v>45157</v>
      </c>
      <c r="B213" s="42" t="s">
        <v>176</v>
      </c>
      <c r="C213" s="42" t="s">
        <v>177</v>
      </c>
      <c r="D213" s="42" t="s">
        <v>207</v>
      </c>
      <c r="E213" s="43">
        <v>5640</v>
      </c>
    </row>
    <row r="214" spans="1:5">
      <c r="A214" s="41">
        <v>45158</v>
      </c>
      <c r="B214" s="42" t="s">
        <v>188</v>
      </c>
      <c r="C214" s="42" t="s">
        <v>189</v>
      </c>
      <c r="D214" s="42" t="s">
        <v>194</v>
      </c>
      <c r="E214" s="43">
        <v>6400</v>
      </c>
    </row>
    <row r="215" spans="1:5">
      <c r="A215" s="41">
        <v>45159</v>
      </c>
      <c r="B215" s="42" t="s">
        <v>188</v>
      </c>
      <c r="C215" s="42" t="s">
        <v>189</v>
      </c>
      <c r="D215" s="42" t="s">
        <v>194</v>
      </c>
      <c r="E215" s="43">
        <v>2180</v>
      </c>
    </row>
    <row r="216" spans="1:5">
      <c r="A216" s="41">
        <v>45163</v>
      </c>
      <c r="B216" s="42" t="s">
        <v>188</v>
      </c>
      <c r="C216" s="42" t="s">
        <v>189</v>
      </c>
      <c r="D216" s="42" t="s">
        <v>193</v>
      </c>
      <c r="E216" s="43">
        <v>6040</v>
      </c>
    </row>
    <row r="217" spans="1:5">
      <c r="A217" s="41">
        <v>45165</v>
      </c>
      <c r="B217" s="42" t="s">
        <v>188</v>
      </c>
      <c r="C217" s="42" t="s">
        <v>192</v>
      </c>
      <c r="D217" s="42" t="s">
        <v>197</v>
      </c>
      <c r="E217" s="43">
        <v>9750</v>
      </c>
    </row>
    <row r="218" spans="1:5">
      <c r="A218" s="41">
        <v>45167</v>
      </c>
      <c r="B218" s="42" t="s">
        <v>182</v>
      </c>
      <c r="C218" s="42" t="s">
        <v>185</v>
      </c>
      <c r="D218" s="42" t="s">
        <v>205</v>
      </c>
      <c r="E218" s="43">
        <v>9300</v>
      </c>
    </row>
    <row r="219" spans="1:5">
      <c r="A219" s="41">
        <v>45169</v>
      </c>
      <c r="B219" s="42" t="s">
        <v>188</v>
      </c>
      <c r="C219" s="42" t="s">
        <v>189</v>
      </c>
      <c r="D219" s="42" t="s">
        <v>202</v>
      </c>
      <c r="E219" s="43">
        <v>1100</v>
      </c>
    </row>
    <row r="220" spans="1:5">
      <c r="A220" s="41">
        <v>45169</v>
      </c>
      <c r="B220" s="42" t="s">
        <v>182</v>
      </c>
      <c r="C220" s="42" t="s">
        <v>183</v>
      </c>
      <c r="D220" s="42" t="s">
        <v>195</v>
      </c>
      <c r="E220" s="43">
        <v>9680</v>
      </c>
    </row>
    <row r="221" spans="1:5">
      <c r="A221" s="41">
        <v>45169</v>
      </c>
      <c r="B221" s="42" t="s">
        <v>188</v>
      </c>
      <c r="C221" s="42" t="s">
        <v>189</v>
      </c>
      <c r="D221" s="42" t="s">
        <v>202</v>
      </c>
      <c r="E221" s="43">
        <v>3420</v>
      </c>
    </row>
    <row r="222" spans="1:5">
      <c r="A222" s="41">
        <v>45172</v>
      </c>
      <c r="B222" s="42" t="s">
        <v>176</v>
      </c>
      <c r="C222" s="42" t="s">
        <v>177</v>
      </c>
      <c r="D222" s="42" t="s">
        <v>206</v>
      </c>
      <c r="E222" s="43">
        <v>3200</v>
      </c>
    </row>
    <row r="223" spans="1:5">
      <c r="A223" s="41">
        <v>45173</v>
      </c>
      <c r="B223" s="42" t="s">
        <v>182</v>
      </c>
      <c r="C223" s="42" t="s">
        <v>183</v>
      </c>
      <c r="D223" s="42" t="s">
        <v>186</v>
      </c>
      <c r="E223" s="43">
        <v>2290</v>
      </c>
    </row>
    <row r="224" spans="1:5">
      <c r="A224" s="41">
        <v>45175</v>
      </c>
      <c r="B224" s="42" t="s">
        <v>188</v>
      </c>
      <c r="C224" s="42" t="s">
        <v>189</v>
      </c>
      <c r="D224" s="42" t="s">
        <v>202</v>
      </c>
      <c r="E224" s="43">
        <v>7420</v>
      </c>
    </row>
    <row r="225" spans="1:5">
      <c r="A225" s="41">
        <v>45175</v>
      </c>
      <c r="B225" s="42" t="s">
        <v>188</v>
      </c>
      <c r="C225" s="42" t="s">
        <v>192</v>
      </c>
      <c r="D225" s="42" t="s">
        <v>193</v>
      </c>
      <c r="E225" s="43">
        <v>8880</v>
      </c>
    </row>
    <row r="226" spans="1:5">
      <c r="A226" s="41">
        <v>45178</v>
      </c>
      <c r="B226" s="42" t="s">
        <v>182</v>
      </c>
      <c r="C226" s="42" t="s">
        <v>183</v>
      </c>
      <c r="D226" s="42" t="s">
        <v>204</v>
      </c>
      <c r="E226" s="43">
        <v>5780</v>
      </c>
    </row>
    <row r="227" spans="1:5">
      <c r="A227" s="41">
        <v>45179</v>
      </c>
      <c r="B227" s="42" t="s">
        <v>182</v>
      </c>
      <c r="C227" s="42" t="s">
        <v>185</v>
      </c>
      <c r="D227" s="42" t="s">
        <v>184</v>
      </c>
      <c r="E227" s="43">
        <v>5650</v>
      </c>
    </row>
    <row r="228" spans="1:5">
      <c r="A228" s="41">
        <v>45184</v>
      </c>
      <c r="B228" s="42" t="s">
        <v>176</v>
      </c>
      <c r="C228" s="42" t="s">
        <v>187</v>
      </c>
      <c r="D228" s="42" t="s">
        <v>207</v>
      </c>
      <c r="E228" s="43">
        <v>2420</v>
      </c>
    </row>
    <row r="229" spans="1:5">
      <c r="A229" s="41">
        <v>45185</v>
      </c>
      <c r="B229" s="42" t="s">
        <v>176</v>
      </c>
      <c r="C229" s="42" t="s">
        <v>187</v>
      </c>
      <c r="D229" s="42" t="s">
        <v>206</v>
      </c>
      <c r="E229" s="43">
        <v>4820</v>
      </c>
    </row>
    <row r="230" spans="1:5">
      <c r="A230" s="41">
        <v>45187</v>
      </c>
      <c r="B230" s="42" t="s">
        <v>182</v>
      </c>
      <c r="C230" s="42" t="s">
        <v>183</v>
      </c>
      <c r="D230" s="42" t="s">
        <v>186</v>
      </c>
      <c r="E230" s="43">
        <v>7600</v>
      </c>
    </row>
    <row r="231" spans="1:5">
      <c r="A231" s="41">
        <v>45189</v>
      </c>
      <c r="B231" s="42" t="s">
        <v>182</v>
      </c>
      <c r="C231" s="42" t="s">
        <v>183</v>
      </c>
      <c r="D231" s="42" t="s">
        <v>204</v>
      </c>
      <c r="E231" s="43">
        <v>7160</v>
      </c>
    </row>
    <row r="232" spans="1:5">
      <c r="A232" s="41">
        <v>45191</v>
      </c>
      <c r="B232" s="42" t="s">
        <v>188</v>
      </c>
      <c r="C232" s="42" t="s">
        <v>192</v>
      </c>
      <c r="D232" s="42" t="s">
        <v>201</v>
      </c>
      <c r="E232" s="43">
        <v>3630</v>
      </c>
    </row>
    <row r="233" spans="1:5">
      <c r="A233" s="41">
        <v>45193</v>
      </c>
      <c r="B233" s="42" t="s">
        <v>176</v>
      </c>
      <c r="C233" s="42" t="s">
        <v>187</v>
      </c>
      <c r="D233" s="42" t="s">
        <v>207</v>
      </c>
      <c r="E233" s="43">
        <v>1730</v>
      </c>
    </row>
    <row r="234" spans="1:5">
      <c r="A234" s="41">
        <v>45196</v>
      </c>
      <c r="B234" s="42" t="s">
        <v>188</v>
      </c>
      <c r="C234" s="42" t="s">
        <v>189</v>
      </c>
      <c r="D234" s="42" t="s">
        <v>197</v>
      </c>
      <c r="E234" s="43">
        <v>7870</v>
      </c>
    </row>
    <row r="235" spans="1:5">
      <c r="A235" s="41">
        <v>45201</v>
      </c>
      <c r="B235" s="42" t="s">
        <v>176</v>
      </c>
      <c r="C235" s="42" t="s">
        <v>177</v>
      </c>
      <c r="D235" s="42" t="s">
        <v>207</v>
      </c>
      <c r="E235" s="43">
        <v>3380</v>
      </c>
    </row>
    <row r="236" spans="1:5">
      <c r="A236" s="41">
        <v>45201</v>
      </c>
      <c r="B236" s="42" t="s">
        <v>176</v>
      </c>
      <c r="C236" s="42" t="s">
        <v>177</v>
      </c>
      <c r="D236" s="42" t="s">
        <v>200</v>
      </c>
      <c r="E236" s="43">
        <v>2730</v>
      </c>
    </row>
    <row r="237" spans="1:5">
      <c r="A237" s="41">
        <v>45203</v>
      </c>
      <c r="B237" s="42" t="s">
        <v>182</v>
      </c>
      <c r="C237" s="42" t="s">
        <v>183</v>
      </c>
      <c r="D237" s="42" t="s">
        <v>204</v>
      </c>
      <c r="E237" s="43">
        <v>6120</v>
      </c>
    </row>
    <row r="238" spans="1:5">
      <c r="A238" s="41">
        <v>45208</v>
      </c>
      <c r="B238" s="42" t="s">
        <v>188</v>
      </c>
      <c r="C238" s="42" t="s">
        <v>192</v>
      </c>
      <c r="D238" s="42" t="s">
        <v>190</v>
      </c>
      <c r="E238" s="43">
        <v>9530</v>
      </c>
    </row>
    <row r="239" spans="1:5">
      <c r="A239" s="41">
        <v>45209</v>
      </c>
      <c r="B239" s="42" t="s">
        <v>188</v>
      </c>
      <c r="C239" s="42" t="s">
        <v>189</v>
      </c>
      <c r="D239" s="42" t="s">
        <v>201</v>
      </c>
      <c r="E239" s="43">
        <v>9430</v>
      </c>
    </row>
    <row r="240" spans="1:5">
      <c r="A240" s="41">
        <v>45209</v>
      </c>
      <c r="B240" s="42" t="s">
        <v>188</v>
      </c>
      <c r="C240" s="42" t="s">
        <v>192</v>
      </c>
      <c r="D240" s="42" t="s">
        <v>194</v>
      </c>
      <c r="E240" s="43">
        <v>7010</v>
      </c>
    </row>
    <row r="241" spans="1:5">
      <c r="A241" s="41">
        <v>45211</v>
      </c>
      <c r="B241" s="42" t="s">
        <v>182</v>
      </c>
      <c r="C241" s="42" t="s">
        <v>183</v>
      </c>
      <c r="D241" s="42" t="s">
        <v>199</v>
      </c>
      <c r="E241" s="43">
        <v>1200</v>
      </c>
    </row>
    <row r="242" spans="1:5">
      <c r="A242" s="41">
        <v>45213</v>
      </c>
      <c r="B242" s="42" t="s">
        <v>176</v>
      </c>
      <c r="C242" s="42" t="s">
        <v>187</v>
      </c>
      <c r="D242" s="42" t="s">
        <v>208</v>
      </c>
      <c r="E242" s="43">
        <v>2490</v>
      </c>
    </row>
    <row r="243" spans="1:5">
      <c r="A243" s="41">
        <v>45215</v>
      </c>
      <c r="B243" s="42" t="s">
        <v>182</v>
      </c>
      <c r="C243" s="42" t="s">
        <v>183</v>
      </c>
      <c r="D243" s="42" t="s">
        <v>205</v>
      </c>
      <c r="E243" s="43">
        <v>6190</v>
      </c>
    </row>
    <row r="244" spans="1:5">
      <c r="A244" s="41">
        <v>45220</v>
      </c>
      <c r="B244" s="42" t="s">
        <v>176</v>
      </c>
      <c r="C244" s="42" t="s">
        <v>187</v>
      </c>
      <c r="D244" s="42" t="s">
        <v>191</v>
      </c>
      <c r="E244" s="43">
        <v>150</v>
      </c>
    </row>
    <row r="245" spans="1:5">
      <c r="A245" s="41">
        <v>45220</v>
      </c>
      <c r="B245" s="42" t="s">
        <v>176</v>
      </c>
      <c r="C245" s="42" t="s">
        <v>187</v>
      </c>
      <c r="D245" s="42" t="s">
        <v>208</v>
      </c>
      <c r="E245" s="43">
        <v>3200</v>
      </c>
    </row>
    <row r="246" spans="1:5">
      <c r="A246" s="41">
        <v>45223</v>
      </c>
      <c r="B246" s="42" t="s">
        <v>176</v>
      </c>
      <c r="C246" s="42" t="s">
        <v>177</v>
      </c>
      <c r="D246" s="42" t="s">
        <v>208</v>
      </c>
      <c r="E246" s="43">
        <v>5390</v>
      </c>
    </row>
    <row r="247" spans="1:5">
      <c r="A247" s="41">
        <v>45228</v>
      </c>
      <c r="B247" s="42" t="s">
        <v>188</v>
      </c>
      <c r="C247" s="42" t="s">
        <v>189</v>
      </c>
      <c r="D247" s="42" t="s">
        <v>193</v>
      </c>
      <c r="E247" s="43">
        <v>8240</v>
      </c>
    </row>
    <row r="248" spans="1:5">
      <c r="A248" s="41">
        <v>45244</v>
      </c>
      <c r="B248" s="42" t="s">
        <v>188</v>
      </c>
      <c r="C248" s="42" t="s">
        <v>189</v>
      </c>
      <c r="D248" s="42" t="s">
        <v>193</v>
      </c>
      <c r="E248" s="43">
        <v>6280</v>
      </c>
    </row>
    <row r="249" spans="1:5">
      <c r="A249" s="41">
        <v>45250</v>
      </c>
      <c r="B249" s="42" t="s">
        <v>188</v>
      </c>
      <c r="C249" s="42" t="s">
        <v>192</v>
      </c>
      <c r="D249" s="42" t="s">
        <v>197</v>
      </c>
      <c r="E249" s="43">
        <v>2910</v>
      </c>
    </row>
    <row r="250" spans="1:5">
      <c r="A250" s="41">
        <v>45251</v>
      </c>
      <c r="B250" s="42" t="s">
        <v>176</v>
      </c>
      <c r="C250" s="42" t="s">
        <v>187</v>
      </c>
      <c r="D250" s="42" t="s">
        <v>206</v>
      </c>
      <c r="E250" s="43">
        <v>6030</v>
      </c>
    </row>
    <row r="251" spans="1:5">
      <c r="A251" s="41">
        <v>45252</v>
      </c>
      <c r="B251" s="42" t="s">
        <v>182</v>
      </c>
      <c r="C251" s="42" t="s">
        <v>183</v>
      </c>
      <c r="D251" s="42" t="s">
        <v>195</v>
      </c>
      <c r="E251" s="43">
        <v>750</v>
      </c>
    </row>
    <row r="252" spans="1:5">
      <c r="A252" s="41">
        <v>45254</v>
      </c>
      <c r="B252" s="42" t="s">
        <v>188</v>
      </c>
      <c r="C252" s="42" t="s">
        <v>189</v>
      </c>
      <c r="D252" s="42" t="s">
        <v>202</v>
      </c>
      <c r="E252" s="43">
        <v>5170</v>
      </c>
    </row>
    <row r="253" spans="1:5">
      <c r="A253" s="41">
        <v>45255</v>
      </c>
      <c r="B253" s="42" t="s">
        <v>176</v>
      </c>
      <c r="C253" s="42" t="s">
        <v>177</v>
      </c>
      <c r="D253" s="42" t="s">
        <v>200</v>
      </c>
      <c r="E253" s="43">
        <v>4200</v>
      </c>
    </row>
    <row r="254" spans="1:5">
      <c r="A254" s="41">
        <v>45257</v>
      </c>
      <c r="B254" s="42" t="s">
        <v>182</v>
      </c>
      <c r="C254" s="42" t="s">
        <v>185</v>
      </c>
      <c r="D254" s="42" t="s">
        <v>186</v>
      </c>
      <c r="E254" s="43">
        <v>8680</v>
      </c>
    </row>
    <row r="255" spans="1:5">
      <c r="A255" s="41">
        <v>45259</v>
      </c>
      <c r="B255" s="42" t="s">
        <v>182</v>
      </c>
      <c r="C255" s="42" t="s">
        <v>185</v>
      </c>
      <c r="D255" s="42" t="s">
        <v>204</v>
      </c>
      <c r="E255" s="43">
        <v>2310</v>
      </c>
    </row>
    <row r="256" spans="1:5">
      <c r="A256" s="41">
        <v>45263</v>
      </c>
      <c r="B256" s="42" t="s">
        <v>182</v>
      </c>
      <c r="C256" s="42" t="s">
        <v>183</v>
      </c>
      <c r="D256" s="42" t="s">
        <v>199</v>
      </c>
      <c r="E256" s="43">
        <v>1120</v>
      </c>
    </row>
    <row r="257" spans="1:5">
      <c r="A257" s="41">
        <v>45266</v>
      </c>
      <c r="B257" s="42" t="s">
        <v>188</v>
      </c>
      <c r="C257" s="42" t="s">
        <v>192</v>
      </c>
      <c r="D257" s="42" t="s">
        <v>197</v>
      </c>
      <c r="E257" s="43">
        <v>2170</v>
      </c>
    </row>
    <row r="258" spans="1:5">
      <c r="A258" s="41">
        <v>45266</v>
      </c>
      <c r="B258" s="42" t="s">
        <v>176</v>
      </c>
      <c r="C258" s="42" t="s">
        <v>187</v>
      </c>
      <c r="D258" s="42" t="s">
        <v>208</v>
      </c>
      <c r="E258" s="43">
        <v>6500</v>
      </c>
    </row>
    <row r="259" spans="1:5">
      <c r="A259" s="41">
        <v>45266</v>
      </c>
      <c r="B259" s="42" t="s">
        <v>182</v>
      </c>
      <c r="C259" s="42" t="s">
        <v>183</v>
      </c>
      <c r="D259" s="42" t="s">
        <v>205</v>
      </c>
      <c r="E259" s="43">
        <v>7710</v>
      </c>
    </row>
    <row r="260" spans="1:5">
      <c r="A260" s="41">
        <v>45271</v>
      </c>
      <c r="B260" s="42" t="s">
        <v>188</v>
      </c>
      <c r="C260" s="42" t="s">
        <v>192</v>
      </c>
      <c r="D260" s="42" t="s">
        <v>197</v>
      </c>
      <c r="E260" s="43">
        <v>3780</v>
      </c>
    </row>
    <row r="261" spans="1:5">
      <c r="A261" s="41">
        <v>45271</v>
      </c>
      <c r="B261" s="42" t="s">
        <v>188</v>
      </c>
      <c r="C261" s="42" t="s">
        <v>189</v>
      </c>
      <c r="D261" s="42" t="s">
        <v>194</v>
      </c>
      <c r="E261" s="43">
        <v>4920</v>
      </c>
    </row>
    <row r="262" spans="1:5">
      <c r="A262" s="41">
        <v>45272</v>
      </c>
      <c r="B262" s="42" t="s">
        <v>182</v>
      </c>
      <c r="C262" s="42" t="s">
        <v>183</v>
      </c>
      <c r="D262" s="42" t="s">
        <v>186</v>
      </c>
      <c r="E262" s="43">
        <v>5740</v>
      </c>
    </row>
    <row r="263" spans="1:5">
      <c r="A263" s="41">
        <v>45274</v>
      </c>
      <c r="B263" s="42" t="s">
        <v>182</v>
      </c>
      <c r="C263" s="42" t="s">
        <v>185</v>
      </c>
      <c r="D263" s="42" t="s">
        <v>205</v>
      </c>
      <c r="E263" s="43">
        <v>1720</v>
      </c>
    </row>
    <row r="264" spans="1:5">
      <c r="A264" s="41">
        <v>45275</v>
      </c>
      <c r="B264" s="42" t="s">
        <v>188</v>
      </c>
      <c r="C264" s="42" t="s">
        <v>192</v>
      </c>
      <c r="D264" s="42" t="s">
        <v>202</v>
      </c>
      <c r="E264" s="43">
        <v>7830</v>
      </c>
    </row>
    <row r="265" spans="1:5">
      <c r="A265" s="41">
        <v>45276</v>
      </c>
      <c r="B265" s="42" t="s">
        <v>176</v>
      </c>
      <c r="C265" s="42" t="s">
        <v>187</v>
      </c>
      <c r="D265" s="42" t="s">
        <v>206</v>
      </c>
      <c r="E265" s="43">
        <v>8580</v>
      </c>
    </row>
    <row r="266" spans="1:5">
      <c r="A266" s="41">
        <v>45276</v>
      </c>
      <c r="B266" s="42" t="s">
        <v>188</v>
      </c>
      <c r="C266" s="42" t="s">
        <v>192</v>
      </c>
      <c r="D266" s="42" t="s">
        <v>190</v>
      </c>
      <c r="E266" s="43">
        <v>3800</v>
      </c>
    </row>
    <row r="267" spans="1:5">
      <c r="A267" s="41">
        <v>45281</v>
      </c>
      <c r="B267" s="42" t="s">
        <v>182</v>
      </c>
      <c r="C267" s="42" t="s">
        <v>185</v>
      </c>
      <c r="D267" s="42" t="s">
        <v>204</v>
      </c>
      <c r="E267" s="43">
        <v>3570</v>
      </c>
    </row>
    <row r="268" spans="1:5">
      <c r="A268" s="41">
        <v>45285</v>
      </c>
      <c r="B268" s="42" t="s">
        <v>188</v>
      </c>
      <c r="C268" s="42" t="s">
        <v>189</v>
      </c>
      <c r="D268" s="42" t="s">
        <v>194</v>
      </c>
      <c r="E268" s="43">
        <v>6870</v>
      </c>
    </row>
    <row r="269" spans="1:5">
      <c r="A269" s="41">
        <v>45286</v>
      </c>
      <c r="B269" s="42" t="s">
        <v>176</v>
      </c>
      <c r="C269" s="42" t="s">
        <v>177</v>
      </c>
      <c r="D269" s="42" t="s">
        <v>206</v>
      </c>
      <c r="E269" s="43">
        <v>3380</v>
      </c>
    </row>
    <row r="270" spans="1:5">
      <c r="A270" s="41">
        <v>45286</v>
      </c>
      <c r="B270" s="42" t="s">
        <v>182</v>
      </c>
      <c r="C270" s="42" t="s">
        <v>183</v>
      </c>
      <c r="D270" s="42" t="s">
        <v>204</v>
      </c>
      <c r="E270" s="43">
        <v>5820</v>
      </c>
    </row>
    <row r="271" spans="1:5">
      <c r="A271" s="41">
        <v>45288</v>
      </c>
      <c r="B271" s="42" t="s">
        <v>188</v>
      </c>
      <c r="C271" s="42" t="s">
        <v>189</v>
      </c>
      <c r="D271" s="42" t="s">
        <v>190</v>
      </c>
      <c r="E271" s="43">
        <v>7530</v>
      </c>
    </row>
    <row r="272" spans="1:5">
      <c r="A272" s="41">
        <v>45298</v>
      </c>
      <c r="B272" s="42" t="s">
        <v>188</v>
      </c>
      <c r="C272" s="42" t="s">
        <v>192</v>
      </c>
      <c r="D272" s="42" t="s">
        <v>194</v>
      </c>
      <c r="E272" s="43">
        <v>1180</v>
      </c>
    </row>
    <row r="273" spans="1:5">
      <c r="A273" s="41">
        <v>45301</v>
      </c>
      <c r="B273" s="42" t="s">
        <v>176</v>
      </c>
      <c r="C273" s="42" t="s">
        <v>187</v>
      </c>
      <c r="D273" s="42" t="s">
        <v>206</v>
      </c>
      <c r="E273" s="43">
        <v>5200</v>
      </c>
    </row>
    <row r="274" spans="1:5">
      <c r="A274" s="41">
        <v>45304</v>
      </c>
      <c r="B274" s="42" t="s">
        <v>182</v>
      </c>
      <c r="C274" s="42" t="s">
        <v>185</v>
      </c>
      <c r="D274" s="42" t="s">
        <v>195</v>
      </c>
      <c r="E274" s="43">
        <v>6370</v>
      </c>
    </row>
    <row r="275" spans="1:5">
      <c r="A275" s="41">
        <v>45305</v>
      </c>
      <c r="B275" s="42" t="s">
        <v>182</v>
      </c>
      <c r="C275" s="42" t="s">
        <v>183</v>
      </c>
      <c r="D275" s="42" t="s">
        <v>204</v>
      </c>
      <c r="E275" s="43">
        <v>5000</v>
      </c>
    </row>
    <row r="276" spans="1:5">
      <c r="A276" s="41">
        <v>45306</v>
      </c>
      <c r="B276" s="42" t="s">
        <v>188</v>
      </c>
      <c r="C276" s="42" t="s">
        <v>189</v>
      </c>
      <c r="D276" s="42" t="s">
        <v>197</v>
      </c>
      <c r="E276" s="43">
        <v>6430</v>
      </c>
    </row>
    <row r="277" spans="1:5">
      <c r="A277" s="41">
        <v>45307</v>
      </c>
      <c r="B277" s="42" t="s">
        <v>188</v>
      </c>
      <c r="C277" s="42" t="s">
        <v>192</v>
      </c>
      <c r="D277" s="42" t="s">
        <v>201</v>
      </c>
      <c r="E277" s="43">
        <v>3560</v>
      </c>
    </row>
    <row r="278" spans="1:5">
      <c r="A278" s="41">
        <v>45309</v>
      </c>
      <c r="B278" s="42" t="s">
        <v>182</v>
      </c>
      <c r="C278" s="42" t="s">
        <v>185</v>
      </c>
      <c r="D278" s="42" t="s">
        <v>195</v>
      </c>
      <c r="E278" s="43">
        <v>9810</v>
      </c>
    </row>
    <row r="279" spans="1:5">
      <c r="A279" s="41">
        <v>45314</v>
      </c>
      <c r="B279" s="42" t="s">
        <v>188</v>
      </c>
      <c r="C279" s="42" t="s">
        <v>192</v>
      </c>
      <c r="D279" s="42" t="s">
        <v>197</v>
      </c>
      <c r="E279" s="43">
        <v>6410</v>
      </c>
    </row>
    <row r="280" spans="1:5">
      <c r="A280" s="41">
        <v>45315</v>
      </c>
      <c r="B280" s="42" t="s">
        <v>176</v>
      </c>
      <c r="C280" s="42" t="s">
        <v>187</v>
      </c>
      <c r="D280" s="42" t="s">
        <v>206</v>
      </c>
      <c r="E280" s="43">
        <v>7930</v>
      </c>
    </row>
    <row r="281" spans="1:5">
      <c r="A281" s="41">
        <v>45317</v>
      </c>
      <c r="B281" s="42" t="s">
        <v>176</v>
      </c>
      <c r="C281" s="42" t="s">
        <v>177</v>
      </c>
      <c r="D281" s="42" t="s">
        <v>207</v>
      </c>
      <c r="E281" s="43">
        <v>5420</v>
      </c>
    </row>
    <row r="282" spans="1:5">
      <c r="A282" s="41">
        <v>45317</v>
      </c>
      <c r="B282" s="42" t="s">
        <v>176</v>
      </c>
      <c r="C282" s="42" t="s">
        <v>177</v>
      </c>
      <c r="D282" s="42" t="s">
        <v>200</v>
      </c>
      <c r="E282" s="43">
        <v>6810</v>
      </c>
    </row>
    <row r="283" spans="1:5">
      <c r="A283" s="41">
        <v>45318</v>
      </c>
      <c r="B283" s="42" t="s">
        <v>188</v>
      </c>
      <c r="C283" s="42" t="s">
        <v>189</v>
      </c>
      <c r="D283" s="42" t="s">
        <v>202</v>
      </c>
      <c r="E283" s="43">
        <v>6920</v>
      </c>
    </row>
    <row r="284" spans="1:5">
      <c r="A284" s="41">
        <v>45320</v>
      </c>
      <c r="B284" s="42" t="s">
        <v>182</v>
      </c>
      <c r="C284" s="42" t="s">
        <v>183</v>
      </c>
      <c r="D284" s="42" t="s">
        <v>205</v>
      </c>
      <c r="E284" s="43">
        <v>9180</v>
      </c>
    </row>
    <row r="285" spans="1:5">
      <c r="A285" s="41">
        <v>45323</v>
      </c>
      <c r="B285" s="42" t="s">
        <v>176</v>
      </c>
      <c r="C285" s="42" t="s">
        <v>177</v>
      </c>
      <c r="D285" s="42" t="s">
        <v>200</v>
      </c>
      <c r="E285" s="43">
        <v>5200</v>
      </c>
    </row>
    <row r="286" spans="1:5">
      <c r="A286" s="41">
        <v>45324</v>
      </c>
      <c r="B286" s="42" t="s">
        <v>188</v>
      </c>
      <c r="C286" s="42" t="s">
        <v>189</v>
      </c>
      <c r="D286" s="42" t="s">
        <v>201</v>
      </c>
      <c r="E286" s="43">
        <v>6180</v>
      </c>
    </row>
    <row r="287" spans="1:5">
      <c r="A287" s="41">
        <v>45325</v>
      </c>
      <c r="B287" s="42" t="s">
        <v>176</v>
      </c>
      <c r="C287" s="42" t="s">
        <v>187</v>
      </c>
      <c r="D287" s="42" t="s">
        <v>206</v>
      </c>
      <c r="E287" s="43">
        <v>270</v>
      </c>
    </row>
    <row r="288" spans="1:5">
      <c r="A288" s="41">
        <v>45326</v>
      </c>
      <c r="B288" s="42" t="s">
        <v>188</v>
      </c>
      <c r="C288" s="42" t="s">
        <v>189</v>
      </c>
      <c r="D288" s="42" t="s">
        <v>202</v>
      </c>
      <c r="E288" s="43">
        <v>9360</v>
      </c>
    </row>
    <row r="289" spans="1:5">
      <c r="A289" s="41">
        <v>45332</v>
      </c>
      <c r="B289" s="42" t="s">
        <v>182</v>
      </c>
      <c r="C289" s="42" t="s">
        <v>185</v>
      </c>
      <c r="D289" s="42" t="s">
        <v>186</v>
      </c>
      <c r="E289" s="43">
        <v>8260</v>
      </c>
    </row>
    <row r="290" spans="1:5">
      <c r="A290" s="41">
        <v>45333</v>
      </c>
      <c r="B290" s="42" t="s">
        <v>182</v>
      </c>
      <c r="C290" s="42" t="s">
        <v>183</v>
      </c>
      <c r="D290" s="42" t="s">
        <v>199</v>
      </c>
      <c r="E290" s="43">
        <v>7690</v>
      </c>
    </row>
    <row r="291" spans="1:5">
      <c r="A291" s="41">
        <v>45333</v>
      </c>
      <c r="B291" s="42" t="s">
        <v>182</v>
      </c>
      <c r="C291" s="42" t="s">
        <v>185</v>
      </c>
      <c r="D291" s="42" t="s">
        <v>195</v>
      </c>
      <c r="E291" s="43">
        <v>5250</v>
      </c>
    </row>
    <row r="292" spans="1:5">
      <c r="A292" s="41">
        <v>45336</v>
      </c>
      <c r="B292" s="42" t="s">
        <v>176</v>
      </c>
      <c r="C292" s="42" t="s">
        <v>177</v>
      </c>
      <c r="D292" s="42" t="s">
        <v>207</v>
      </c>
      <c r="E292" s="43">
        <v>6200</v>
      </c>
    </row>
    <row r="293" spans="1:5">
      <c r="A293" s="41">
        <v>45336</v>
      </c>
      <c r="B293" s="42" t="s">
        <v>182</v>
      </c>
      <c r="C293" s="42" t="s">
        <v>185</v>
      </c>
      <c r="D293" s="42" t="s">
        <v>195</v>
      </c>
      <c r="E293" s="43">
        <v>9650</v>
      </c>
    </row>
    <row r="294" spans="1:5">
      <c r="A294" s="41">
        <v>45339</v>
      </c>
      <c r="B294" s="42" t="s">
        <v>176</v>
      </c>
      <c r="C294" s="42" t="s">
        <v>187</v>
      </c>
      <c r="D294" s="42" t="s">
        <v>208</v>
      </c>
      <c r="E294" s="43">
        <v>3200</v>
      </c>
    </row>
    <row r="295" spans="1:5">
      <c r="A295" s="41">
        <v>45341</v>
      </c>
      <c r="B295" s="42" t="s">
        <v>188</v>
      </c>
      <c r="C295" s="42" t="s">
        <v>192</v>
      </c>
      <c r="D295" s="42" t="s">
        <v>197</v>
      </c>
      <c r="E295" s="43">
        <v>7470</v>
      </c>
    </row>
    <row r="296" spans="1:5">
      <c r="A296" s="41">
        <v>45341</v>
      </c>
      <c r="B296" s="42" t="s">
        <v>188</v>
      </c>
      <c r="C296" s="42" t="s">
        <v>189</v>
      </c>
      <c r="D296" s="42" t="s">
        <v>193</v>
      </c>
      <c r="E296" s="43">
        <v>4000</v>
      </c>
    </row>
    <row r="297" spans="1:5">
      <c r="A297" s="41">
        <v>45341</v>
      </c>
      <c r="B297" s="42" t="s">
        <v>182</v>
      </c>
      <c r="C297" s="42" t="s">
        <v>185</v>
      </c>
      <c r="D297" s="42" t="s">
        <v>205</v>
      </c>
      <c r="E297" s="43">
        <v>2120</v>
      </c>
    </row>
    <row r="298" spans="1:5">
      <c r="A298" s="41">
        <v>45347</v>
      </c>
      <c r="B298" s="42" t="s">
        <v>188</v>
      </c>
      <c r="C298" s="42" t="s">
        <v>189</v>
      </c>
      <c r="D298" s="42" t="s">
        <v>193</v>
      </c>
      <c r="E298" s="43">
        <v>1570</v>
      </c>
    </row>
    <row r="299" spans="1:5">
      <c r="A299" s="41">
        <v>45347</v>
      </c>
      <c r="B299" s="42" t="s">
        <v>188</v>
      </c>
      <c r="C299" s="42" t="s">
        <v>192</v>
      </c>
      <c r="D299" s="42" t="s">
        <v>194</v>
      </c>
      <c r="E299" s="43">
        <v>5950</v>
      </c>
    </row>
    <row r="300" spans="1:5">
      <c r="A300" s="41">
        <v>45347</v>
      </c>
      <c r="B300" s="42" t="s">
        <v>176</v>
      </c>
      <c r="C300" s="42" t="s">
        <v>177</v>
      </c>
      <c r="D300" s="42" t="s">
        <v>207</v>
      </c>
      <c r="E300" s="43">
        <v>3860</v>
      </c>
    </row>
    <row r="301" spans="1:5">
      <c r="A301" s="55">
        <v>45348</v>
      </c>
      <c r="B301" s="56" t="s">
        <v>176</v>
      </c>
      <c r="C301" s="56" t="s">
        <v>177</v>
      </c>
      <c r="D301" s="56" t="s">
        <v>178</v>
      </c>
      <c r="E301" s="57">
        <v>1170</v>
      </c>
    </row>
  </sheetData>
  <mergeCells count="2">
    <mergeCell ref="L8:L10"/>
    <mergeCell ref="L14:L16"/>
  </mergeCells>
  <conditionalFormatting sqref="G2:J41">
    <cfRule type="expression" dxfId="2" priority="1" stopIfTrue="1">
      <formula>$G2= "Grand Total"</formula>
    </cfRule>
    <cfRule type="expression" dxfId="1" priority="2">
      <formula>$H2=""</formula>
    </cfRule>
  </conditionalFormatting>
  <conditionalFormatting sqref="L8">
    <cfRule type="expression" dxfId="0" priority="16">
      <formula>#REF!="Total"</formula>
    </cfRule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259-D5B4-47E7-8C54-E4914672B9A5}">
  <sheetPr codeName="Sheet27">
    <tabColor theme="7" tint="0.79998168889431442"/>
  </sheetPr>
  <dimension ref="A1:K8"/>
  <sheetViews>
    <sheetView workbookViewId="0"/>
  </sheetViews>
  <sheetFormatPr defaultRowHeight="14.4"/>
  <cols>
    <col min="1" max="1" width="15.88671875" customWidth="1"/>
    <col min="2" max="2" width="17.21875" customWidth="1"/>
    <col min="3" max="3" width="16.44140625" customWidth="1"/>
    <col min="4" max="4" width="16.33203125" bestFit="1" customWidth="1"/>
    <col min="5" max="5" width="10.44140625" customWidth="1"/>
    <col min="6" max="6" width="10.77734375" bestFit="1" customWidth="1"/>
    <col min="8" max="10" width="2.6640625" customWidth="1"/>
    <col min="11" max="11" width="42.88671875" bestFit="1" customWidth="1"/>
  </cols>
  <sheetData>
    <row r="1" spans="1:11" ht="14.4" customHeight="1">
      <c r="A1" s="79" t="s">
        <v>11</v>
      </c>
      <c r="B1" s="79" t="s">
        <v>13</v>
      </c>
      <c r="C1" s="81" t="s">
        <v>325</v>
      </c>
      <c r="D1" s="80" t="s">
        <v>326</v>
      </c>
      <c r="E1" s="80" t="s">
        <v>327</v>
      </c>
      <c r="F1" s="80" t="s">
        <v>23</v>
      </c>
    </row>
    <row r="2" spans="1:11">
      <c r="A2" s="9" t="s">
        <v>24</v>
      </c>
      <c r="B2" s="9" t="s">
        <v>25</v>
      </c>
      <c r="C2" s="12">
        <v>85</v>
      </c>
      <c r="D2" s="10"/>
      <c r="E2" s="74"/>
      <c r="F2" s="75"/>
      <c r="K2" s="6" t="s">
        <v>328</v>
      </c>
    </row>
    <row r="3" spans="1:11">
      <c r="A3" s="73" t="s">
        <v>27</v>
      </c>
      <c r="B3" s="9" t="s">
        <v>28</v>
      </c>
      <c r="C3" s="12">
        <v>60</v>
      </c>
      <c r="D3" s="9"/>
      <c r="E3" s="9"/>
      <c r="F3" s="9"/>
    </row>
    <row r="4" spans="1:11">
      <c r="A4" s="73" t="s">
        <v>30</v>
      </c>
      <c r="B4" s="9" t="s">
        <v>31</v>
      </c>
      <c r="C4" s="12">
        <v>95</v>
      </c>
      <c r="D4" s="9"/>
      <c r="E4" s="9"/>
      <c r="F4" s="9"/>
      <c r="K4" s="20" t="s">
        <v>329</v>
      </c>
    </row>
    <row r="5" spans="1:11">
      <c r="A5" s="73" t="s">
        <v>32</v>
      </c>
      <c r="B5" s="9" t="s">
        <v>33</v>
      </c>
      <c r="C5" s="12">
        <v>40</v>
      </c>
      <c r="D5" s="9"/>
      <c r="E5" s="9"/>
      <c r="F5" s="9"/>
    </row>
    <row r="6" spans="1:11">
      <c r="A6" s="73" t="s">
        <v>34</v>
      </c>
      <c r="B6" s="9" t="s">
        <v>35</v>
      </c>
      <c r="C6" s="12">
        <v>55</v>
      </c>
      <c r="D6" s="9"/>
      <c r="E6" s="9"/>
      <c r="F6" s="9"/>
      <c r="K6" s="22" t="s">
        <v>330</v>
      </c>
    </row>
    <row r="7" spans="1:11">
      <c r="A7" s="73" t="s">
        <v>34</v>
      </c>
      <c r="B7" s="9" t="s">
        <v>31</v>
      </c>
      <c r="C7" s="12">
        <v>90</v>
      </c>
      <c r="D7" s="9"/>
      <c r="E7" s="9"/>
      <c r="F7" s="9"/>
    </row>
    <row r="8" spans="1:11">
      <c r="A8" s="73" t="s">
        <v>36</v>
      </c>
      <c r="B8" s="9" t="s">
        <v>37</v>
      </c>
      <c r="C8" s="12">
        <v>45</v>
      </c>
      <c r="D8" s="9"/>
      <c r="E8" s="9"/>
      <c r="F8" s="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C6E6-E1EF-4A80-B5D0-2F5BEDD71033}">
  <sheetPr codeName="Sheet28">
    <tabColor theme="7" tint="0.79998168889431442"/>
  </sheetPr>
  <dimension ref="A1:L6"/>
  <sheetViews>
    <sheetView workbookViewId="0"/>
  </sheetViews>
  <sheetFormatPr defaultRowHeight="14.4"/>
  <cols>
    <col min="3" max="3" width="15.5546875" customWidth="1"/>
    <col min="4" max="4" width="17.5546875" bestFit="1" customWidth="1"/>
    <col min="5" max="5" width="27.44140625" customWidth="1"/>
    <col min="7" max="11" width="2.6640625" customWidth="1"/>
    <col min="12" max="12" width="44.109375" bestFit="1" customWidth="1"/>
  </cols>
  <sheetData>
    <row r="1" spans="1:12" ht="14.4" customHeight="1">
      <c r="A1" s="79" t="s">
        <v>78</v>
      </c>
      <c r="B1" s="79" t="s">
        <v>2</v>
      </c>
      <c r="C1" s="81" t="s">
        <v>319</v>
      </c>
      <c r="D1" s="81" t="s">
        <v>320</v>
      </c>
      <c r="E1" s="80" t="s">
        <v>322</v>
      </c>
    </row>
    <row r="2" spans="1:12">
      <c r="A2" s="9" t="s">
        <v>68</v>
      </c>
      <c r="B2" s="12">
        <v>10</v>
      </c>
      <c r="C2" s="10"/>
      <c r="D2" s="74"/>
      <c r="E2" s="75"/>
      <c r="L2" s="6" t="s">
        <v>462</v>
      </c>
    </row>
    <row r="3" spans="1:12">
      <c r="A3" s="9" t="s">
        <v>72</v>
      </c>
      <c r="B3" s="12">
        <v>40</v>
      </c>
      <c r="C3" s="9"/>
      <c r="D3" s="9"/>
      <c r="E3" s="9"/>
    </row>
    <row r="4" spans="1:12">
      <c r="A4" s="9" t="s">
        <v>74</v>
      </c>
      <c r="B4" s="12">
        <v>50</v>
      </c>
      <c r="C4" s="9"/>
      <c r="D4" s="9"/>
      <c r="E4" s="9"/>
      <c r="L4" s="20" t="s">
        <v>463</v>
      </c>
    </row>
    <row r="5" spans="1:12">
      <c r="A5" s="9" t="s">
        <v>321</v>
      </c>
      <c r="B5" s="12">
        <v>70</v>
      </c>
      <c r="C5" s="9"/>
      <c r="D5" s="9"/>
      <c r="E5" s="9"/>
    </row>
    <row r="6" spans="1:12">
      <c r="L6" s="22" t="s">
        <v>323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413A-81B1-4B59-9987-52F3DA2C52C1}">
  <sheetPr codeName="Sheet29">
    <tabColor theme="7" tint="0.79998168889431442"/>
  </sheetPr>
  <dimension ref="A1:K6"/>
  <sheetViews>
    <sheetView workbookViewId="0"/>
  </sheetViews>
  <sheetFormatPr defaultRowHeight="14.4"/>
  <cols>
    <col min="2" max="2" width="10.88671875" customWidth="1"/>
    <col min="5" max="5" width="18.21875" bestFit="1" customWidth="1"/>
    <col min="6" max="6" width="26.21875" bestFit="1" customWidth="1"/>
    <col min="8" max="10" width="2.6640625" customWidth="1"/>
    <col min="11" max="11" width="59.88671875" bestFit="1" customWidth="1"/>
  </cols>
  <sheetData>
    <row r="1" spans="1:11">
      <c r="A1" s="3" t="s">
        <v>163</v>
      </c>
      <c r="B1" s="3" t="s">
        <v>78</v>
      </c>
      <c r="C1" s="3" t="s">
        <v>332</v>
      </c>
    </row>
    <row r="2" spans="1:11">
      <c r="A2" s="9">
        <v>10</v>
      </c>
      <c r="B2" s="12" t="s">
        <v>68</v>
      </c>
      <c r="C2" s="9" t="s">
        <v>333</v>
      </c>
      <c r="E2" s="82" t="s">
        <v>340</v>
      </c>
      <c r="F2" s="4"/>
      <c r="K2" s="6" t="s">
        <v>342</v>
      </c>
    </row>
    <row r="3" spans="1:11">
      <c r="A3" s="9">
        <v>20</v>
      </c>
      <c r="B3" s="12" t="s">
        <v>69</v>
      </c>
      <c r="C3" s="9" t="s">
        <v>334</v>
      </c>
      <c r="E3" s="82" t="s">
        <v>338</v>
      </c>
      <c r="F3" s="83"/>
      <c r="K3" s="20" t="s">
        <v>343</v>
      </c>
    </row>
    <row r="4" spans="1:11">
      <c r="A4" s="9">
        <v>40</v>
      </c>
      <c r="B4" s="12" t="s">
        <v>70</v>
      </c>
      <c r="C4" s="9" t="s">
        <v>335</v>
      </c>
      <c r="E4" s="82" t="s">
        <v>339</v>
      </c>
      <c r="F4" s="23"/>
      <c r="K4" s="22" t="s">
        <v>344</v>
      </c>
    </row>
    <row r="5" spans="1:11">
      <c r="A5" s="9">
        <v>30</v>
      </c>
      <c r="B5" s="12" t="s">
        <v>77</v>
      </c>
      <c r="C5" s="9" t="s">
        <v>336</v>
      </c>
      <c r="E5" s="82" t="s">
        <v>341</v>
      </c>
      <c r="F5" s="28"/>
      <c r="K5" s="27" t="s">
        <v>345</v>
      </c>
    </row>
    <row r="6" spans="1:11">
      <c r="A6" s="9">
        <v>50</v>
      </c>
      <c r="B6" s="12" t="s">
        <v>74</v>
      </c>
      <c r="C6" s="9" t="s">
        <v>337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B98F-1856-4666-B2BC-F9F77AF43D91}">
  <sheetPr codeName="Sheet30">
    <tabColor theme="7" tint="0.79998168889431442"/>
  </sheetPr>
  <dimension ref="A1:J17"/>
  <sheetViews>
    <sheetView workbookViewId="0"/>
  </sheetViews>
  <sheetFormatPr defaultRowHeight="14.4"/>
  <cols>
    <col min="1" max="1" width="9" bestFit="1" customWidth="1"/>
    <col min="3" max="3" width="9.5546875" bestFit="1" customWidth="1"/>
    <col min="4" max="4" width="16.21875" customWidth="1"/>
    <col min="5" max="5" width="16.33203125" bestFit="1" customWidth="1"/>
    <col min="6" max="6" width="10.77734375" bestFit="1" customWidth="1"/>
    <col min="7" max="7" width="24.77734375" bestFit="1" customWidth="1"/>
  </cols>
  <sheetData>
    <row r="1" spans="1:10">
      <c r="A1" s="3" t="s">
        <v>78</v>
      </c>
      <c r="B1" s="3" t="s">
        <v>98</v>
      </c>
      <c r="C1" s="3" t="s">
        <v>347</v>
      </c>
      <c r="D1" s="3" t="s">
        <v>348</v>
      </c>
      <c r="E1" s="3" t="s">
        <v>349</v>
      </c>
      <c r="F1" s="3" t="s">
        <v>351</v>
      </c>
      <c r="G1" s="3" t="s">
        <v>352</v>
      </c>
    </row>
    <row r="2" spans="1:10">
      <c r="A2" s="12" t="s">
        <v>68</v>
      </c>
      <c r="B2" s="9">
        <v>100</v>
      </c>
      <c r="C2" s="84">
        <v>0.2</v>
      </c>
      <c r="D2" s="10"/>
      <c r="E2" s="74"/>
      <c r="F2" s="75"/>
      <c r="G2" s="76"/>
    </row>
    <row r="3" spans="1:10">
      <c r="A3" s="12" t="s">
        <v>69</v>
      </c>
      <c r="B3" s="9">
        <v>200</v>
      </c>
      <c r="C3" s="84">
        <v>0.25</v>
      </c>
      <c r="D3" s="9"/>
      <c r="E3" s="9"/>
      <c r="F3" s="9"/>
      <c r="G3" s="9"/>
    </row>
    <row r="4" spans="1:10">
      <c r="A4" s="12" t="s">
        <v>70</v>
      </c>
      <c r="B4" s="9">
        <v>300</v>
      </c>
      <c r="C4" s="84">
        <v>0.3</v>
      </c>
      <c r="D4" s="9"/>
      <c r="E4" s="9"/>
      <c r="F4" s="9"/>
      <c r="G4" s="9"/>
    </row>
    <row r="5" spans="1:10">
      <c r="A5" s="12"/>
      <c r="B5" s="9">
        <v>500</v>
      </c>
      <c r="C5" s="9"/>
      <c r="D5" s="9"/>
      <c r="E5" s="9"/>
      <c r="F5" s="9"/>
      <c r="G5" s="9"/>
    </row>
    <row r="6" spans="1:10">
      <c r="A6" s="12" t="s">
        <v>74</v>
      </c>
      <c r="B6" s="9">
        <v>450</v>
      </c>
      <c r="C6" s="84">
        <v>0.4</v>
      </c>
      <c r="D6" s="9"/>
      <c r="E6" s="9"/>
      <c r="F6" s="9"/>
      <c r="G6" s="9"/>
    </row>
    <row r="9" spans="1:10">
      <c r="D9" t="s">
        <v>350</v>
      </c>
    </row>
    <row r="11" spans="1:10">
      <c r="D11" s="147" t="s">
        <v>353</v>
      </c>
      <c r="E11" s="147"/>
      <c r="F11" s="147"/>
      <c r="G11" s="147"/>
      <c r="H11" s="147"/>
      <c r="I11" s="147"/>
      <c r="J11" s="147"/>
    </row>
    <row r="13" spans="1:10">
      <c r="D13" s="139" t="s">
        <v>354</v>
      </c>
      <c r="E13" s="139"/>
      <c r="F13" s="139"/>
      <c r="G13" s="139"/>
      <c r="H13" s="139"/>
      <c r="I13" s="139"/>
      <c r="J13" s="139"/>
    </row>
    <row r="15" spans="1:10">
      <c r="D15" s="140" t="s">
        <v>355</v>
      </c>
      <c r="E15" s="140"/>
      <c r="F15" s="140"/>
      <c r="G15" s="140"/>
      <c r="H15" s="140"/>
      <c r="I15" s="140"/>
      <c r="J15" s="140"/>
    </row>
    <row r="17" spans="4:10">
      <c r="D17" s="152" t="s">
        <v>356</v>
      </c>
      <c r="E17" s="152"/>
      <c r="F17" s="152"/>
      <c r="G17" s="152"/>
      <c r="H17" s="152"/>
      <c r="I17" s="152"/>
      <c r="J17" s="152"/>
    </row>
  </sheetData>
  <mergeCells count="4">
    <mergeCell ref="D17:J17"/>
    <mergeCell ref="D15:J15"/>
    <mergeCell ref="D13:J13"/>
    <mergeCell ref="D11:J11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D810-D01E-4186-B234-99FB4F60584C}">
  <sheetPr codeName="Sheet13">
    <tabColor theme="7" tint="0.79998168889431442"/>
  </sheetPr>
  <dimension ref="A1:N20"/>
  <sheetViews>
    <sheetView workbookViewId="0"/>
  </sheetViews>
  <sheetFormatPr defaultRowHeight="14.4"/>
  <cols>
    <col min="2" max="2" width="9" bestFit="1" customWidth="1"/>
    <col min="4" max="4" width="16" customWidth="1"/>
    <col min="6" max="6" width="13.21875" bestFit="1" customWidth="1"/>
    <col min="8" max="8" width="13.21875" bestFit="1" customWidth="1"/>
    <col min="9" max="9" width="13.33203125" bestFit="1" customWidth="1"/>
    <col min="12" max="12" width="17.21875" customWidth="1"/>
  </cols>
  <sheetData>
    <row r="1" spans="1:12">
      <c r="A1" s="79" t="s">
        <v>96</v>
      </c>
      <c r="B1" s="79" t="s">
        <v>97</v>
      </c>
      <c r="C1" s="79" t="s">
        <v>98</v>
      </c>
      <c r="D1" s="79" t="s">
        <v>99</v>
      </c>
    </row>
    <row r="2" spans="1:12">
      <c r="A2" s="12" t="s">
        <v>68</v>
      </c>
      <c r="B2" s="12" t="s">
        <v>83</v>
      </c>
      <c r="C2" s="12" t="s">
        <v>84</v>
      </c>
      <c r="D2" s="12" t="s">
        <v>85</v>
      </c>
    </row>
    <row r="3" spans="1:12">
      <c r="A3" s="12" t="s">
        <v>69</v>
      </c>
      <c r="B3" s="12" t="s">
        <v>83</v>
      </c>
      <c r="C3" s="12" t="s">
        <v>86</v>
      </c>
      <c r="D3" s="12" t="s">
        <v>87</v>
      </c>
    </row>
    <row r="4" spans="1:12" ht="14.4" customHeight="1">
      <c r="A4" s="12" t="s">
        <v>88</v>
      </c>
      <c r="B4" s="12" t="s">
        <v>89</v>
      </c>
      <c r="C4" s="12" t="s">
        <v>90</v>
      </c>
      <c r="D4" s="12" t="s">
        <v>85</v>
      </c>
    </row>
    <row r="5" spans="1:12" ht="14.4" customHeight="1">
      <c r="A5" s="12" t="s">
        <v>91</v>
      </c>
      <c r="B5" s="12" t="s">
        <v>89</v>
      </c>
      <c r="C5" s="12" t="s">
        <v>92</v>
      </c>
      <c r="D5" s="12" t="s">
        <v>85</v>
      </c>
    </row>
    <row r="6" spans="1:12" ht="14.4" customHeight="1">
      <c r="A6" s="12" t="s">
        <v>73</v>
      </c>
      <c r="B6" s="12" t="s">
        <v>83</v>
      </c>
      <c r="C6" s="12" t="s">
        <v>93</v>
      </c>
      <c r="D6" s="12" t="s">
        <v>87</v>
      </c>
    </row>
    <row r="7" spans="1:12" ht="14.4" customHeight="1">
      <c r="A7" s="12" t="s">
        <v>94</v>
      </c>
      <c r="B7" s="12" t="s">
        <v>89</v>
      </c>
      <c r="C7" s="12" t="s">
        <v>95</v>
      </c>
      <c r="D7" s="12" t="s">
        <v>85</v>
      </c>
    </row>
    <row r="9" spans="1:12">
      <c r="A9" s="4"/>
      <c r="F9" s="5"/>
      <c r="L9" s="6" t="s">
        <v>105</v>
      </c>
    </row>
    <row r="10" spans="1:12">
      <c r="L10" s="7" t="s">
        <v>106</v>
      </c>
    </row>
    <row r="13" spans="1:12">
      <c r="A13" s="4"/>
      <c r="L13" s="6" t="s">
        <v>107</v>
      </c>
    </row>
    <row r="16" spans="1:12">
      <c r="A16" s="4"/>
      <c r="D16" s="5"/>
      <c r="H16" s="21"/>
      <c r="L16" s="6" t="s">
        <v>108</v>
      </c>
    </row>
    <row r="17" spans="12:14">
      <c r="L17" s="7" t="s">
        <v>109</v>
      </c>
    </row>
    <row r="20" spans="12:14">
      <c r="L20" s="139" t="s">
        <v>464</v>
      </c>
      <c r="M20" s="139"/>
      <c r="N20" s="139"/>
    </row>
  </sheetData>
  <mergeCells count="1">
    <mergeCell ref="L20:N2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B3FD-C7F5-42F2-884C-E164A535D7D8}">
  <sheetPr codeName="Sheet14">
    <tabColor theme="7" tint="0.79998168889431442"/>
  </sheetPr>
  <dimension ref="A1:I16"/>
  <sheetViews>
    <sheetView workbookViewId="0"/>
  </sheetViews>
  <sheetFormatPr defaultRowHeight="14.4"/>
  <cols>
    <col min="2" max="2" width="9" bestFit="1" customWidth="1"/>
    <col min="3" max="3" width="13.21875" bestFit="1" customWidth="1"/>
    <col min="4" max="4" width="17.6640625" customWidth="1"/>
    <col min="6" max="6" width="9" bestFit="1" customWidth="1"/>
    <col min="8" max="8" width="13.21875" bestFit="1" customWidth="1"/>
    <col min="9" max="9" width="38.5546875" bestFit="1" customWidth="1"/>
  </cols>
  <sheetData>
    <row r="1" spans="1:9">
      <c r="A1" s="79" t="s">
        <v>96</v>
      </c>
      <c r="B1" s="79" t="s">
        <v>97</v>
      </c>
      <c r="C1" s="79" t="s">
        <v>98</v>
      </c>
      <c r="D1" s="79" t="s">
        <v>99</v>
      </c>
    </row>
    <row r="2" spans="1:9">
      <c r="A2" s="12" t="s">
        <v>68</v>
      </c>
      <c r="B2" s="12" t="s">
        <v>83</v>
      </c>
      <c r="C2" s="12" t="s">
        <v>84</v>
      </c>
      <c r="D2" s="12" t="s">
        <v>85</v>
      </c>
    </row>
    <row r="3" spans="1:9">
      <c r="A3" s="12" t="s">
        <v>69</v>
      </c>
      <c r="B3" s="12" t="s">
        <v>83</v>
      </c>
      <c r="C3" s="12" t="s">
        <v>86</v>
      </c>
      <c r="D3" s="12" t="s">
        <v>87</v>
      </c>
    </row>
    <row r="4" spans="1:9" ht="14.4" customHeight="1">
      <c r="A4" s="12" t="s">
        <v>88</v>
      </c>
      <c r="B4" s="12" t="s">
        <v>89</v>
      </c>
      <c r="C4" s="12" t="s">
        <v>90</v>
      </c>
      <c r="D4" s="12" t="s">
        <v>85</v>
      </c>
    </row>
    <row r="5" spans="1:9" ht="14.4" customHeight="1">
      <c r="A5" s="12" t="s">
        <v>91</v>
      </c>
      <c r="B5" s="12" t="s">
        <v>89</v>
      </c>
      <c r="C5" s="12" t="s">
        <v>92</v>
      </c>
      <c r="D5" s="12" t="s">
        <v>85</v>
      </c>
    </row>
    <row r="6" spans="1:9" ht="14.4" customHeight="1">
      <c r="A6" s="12" t="s">
        <v>73</v>
      </c>
      <c r="B6" s="12" t="s">
        <v>83</v>
      </c>
      <c r="C6" s="12" t="s">
        <v>93</v>
      </c>
      <c r="D6" s="12" t="s">
        <v>87</v>
      </c>
    </row>
    <row r="7" spans="1:9" ht="14.4" customHeight="1">
      <c r="A7" s="12" t="s">
        <v>94</v>
      </c>
      <c r="B7" s="12" t="s">
        <v>89</v>
      </c>
      <c r="C7" s="12" t="s">
        <v>95</v>
      </c>
      <c r="D7" s="12" t="s">
        <v>85</v>
      </c>
    </row>
    <row r="9" spans="1:9">
      <c r="A9" s="4"/>
      <c r="E9" s="5"/>
      <c r="I9" s="6" t="s">
        <v>110</v>
      </c>
    </row>
    <row r="10" spans="1:9">
      <c r="I10" s="7" t="s">
        <v>111</v>
      </c>
    </row>
    <row r="15" spans="1:9">
      <c r="A15" s="4"/>
      <c r="E15" s="5"/>
      <c r="I15" s="6" t="s">
        <v>112</v>
      </c>
    </row>
    <row r="16" spans="1:9">
      <c r="I16" s="7" t="s">
        <v>113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7CB6-A16B-410A-844B-F1441D4D9F63}">
  <sheetPr codeName="Sheet15">
    <tabColor theme="7" tint="0.79998168889431442"/>
  </sheetPr>
  <dimension ref="A1:L15"/>
  <sheetViews>
    <sheetView workbookViewId="0"/>
  </sheetViews>
  <sheetFormatPr defaultRowHeight="14.4"/>
  <cols>
    <col min="1" max="1" width="10.88671875" bestFit="1" customWidth="1"/>
    <col min="2" max="2" width="12.6640625" customWidth="1"/>
    <col min="3" max="3" width="10.88671875" bestFit="1" customWidth="1"/>
    <col min="12" max="12" width="38.5546875" bestFit="1" customWidth="1"/>
  </cols>
  <sheetData>
    <row r="1" spans="1:12">
      <c r="A1" s="79" t="s">
        <v>96</v>
      </c>
      <c r="B1" s="79" t="s">
        <v>97</v>
      </c>
      <c r="C1" s="79" t="s">
        <v>98</v>
      </c>
    </row>
    <row r="2" spans="1:12">
      <c r="A2" s="12" t="s">
        <v>68</v>
      </c>
      <c r="B2" s="12" t="s">
        <v>83</v>
      </c>
      <c r="C2" s="12" t="s">
        <v>84</v>
      </c>
    </row>
    <row r="3" spans="1:12">
      <c r="A3" s="12" t="s">
        <v>69</v>
      </c>
      <c r="B3" s="12" t="s">
        <v>83</v>
      </c>
      <c r="C3" s="12" t="s">
        <v>86</v>
      </c>
    </row>
    <row r="4" spans="1:12">
      <c r="A4" s="12" t="s">
        <v>88</v>
      </c>
      <c r="B4" s="12" t="s">
        <v>89</v>
      </c>
      <c r="C4" s="12" t="s">
        <v>90</v>
      </c>
    </row>
    <row r="5" spans="1:12">
      <c r="A5" s="12" t="s">
        <v>91</v>
      </c>
      <c r="B5" s="12" t="s">
        <v>89</v>
      </c>
      <c r="C5" s="12" t="s">
        <v>92</v>
      </c>
    </row>
    <row r="7" spans="1:12">
      <c r="A7" s="4"/>
      <c r="L7" s="6" t="s">
        <v>114</v>
      </c>
    </row>
    <row r="14" spans="1:12">
      <c r="A14" s="4"/>
      <c r="E14" s="5"/>
      <c r="L14" s="6" t="s">
        <v>115</v>
      </c>
    </row>
    <row r="15" spans="1:12">
      <c r="L15" s="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INDEX</vt:lpstr>
      <vt:lpstr>TEXTSPLIT &amp; TEXTJOIN &amp; CONCAT</vt:lpstr>
      <vt:lpstr>TEXTBEFORE &amp; TEXTAFTER</vt:lpstr>
      <vt:lpstr>SWITCH</vt:lpstr>
      <vt:lpstr>XLOOKUP</vt:lpstr>
      <vt:lpstr>XMATCH</vt:lpstr>
      <vt:lpstr>OFFSET</vt:lpstr>
      <vt:lpstr>TRIMRANGE</vt:lpstr>
      <vt:lpstr>VSTACK &amp; HSTACK </vt:lpstr>
      <vt:lpstr>TOCOL &amp; TOROW</vt:lpstr>
      <vt:lpstr>BYCOL &amp; BYROW</vt:lpstr>
      <vt:lpstr>WRAPCOLS &amp; WRAPROWS</vt:lpstr>
      <vt:lpstr>CHOOSECOLS &amp; CHOOSEROWS</vt:lpstr>
      <vt:lpstr>TRANSPOSE</vt:lpstr>
      <vt:lpstr>SORT &amp; SORTBY</vt:lpstr>
      <vt:lpstr>FILTER</vt:lpstr>
      <vt:lpstr>UNIQUE</vt:lpstr>
      <vt:lpstr>AGGREGATE</vt:lpstr>
      <vt:lpstr>TREND</vt:lpstr>
      <vt:lpstr>SEQUENCE</vt:lpstr>
      <vt:lpstr>RANDARRAY</vt:lpstr>
      <vt:lpstr>MAKEARRAY</vt:lpstr>
      <vt:lpstr>GROUPBY &amp; PIVOTBY</vt:lpstr>
      <vt:lpstr>ARRAYTOTEXT &amp; LAMBDA</vt:lpstr>
      <vt:lpstr>MAP</vt:lpstr>
      <vt:lpstr>SCAN</vt:lpstr>
      <vt:lpstr>REDUCE</vt:lpstr>
      <vt:lpstr>ISOMITTED</vt:lpstr>
      <vt:lpstr>TAKE &amp; CHOOSE</vt:lpstr>
      <vt:lpstr>DROP</vt:lpstr>
      <vt:lpstr>EXPAND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Chauhan (Macros &amp; VBA)</dc:creator>
  <cp:keywords/>
  <dc:description/>
  <cp:lastModifiedBy>Arnab Chakraborty</cp:lastModifiedBy>
  <cp:revision/>
  <dcterms:created xsi:type="dcterms:W3CDTF">2022-08-25T17:17:11Z</dcterms:created>
  <dcterms:modified xsi:type="dcterms:W3CDTF">2025-04-14T06:46:55Z</dcterms:modified>
  <cp:category/>
  <cp:contentStatus/>
</cp:coreProperties>
</file>